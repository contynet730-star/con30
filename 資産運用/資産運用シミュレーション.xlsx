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シミュレーション" sheetId="2" state="visible" r:id="rId4"/>
    <sheet name="保有資産" sheetId="3" state="visible" r:id="rId5"/>
    <sheet name="年次推移" sheetId="4" state="visible" r:id="rId6"/>
    <sheet name="利回り比較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WenQuanYi Zen Hei"/>
            <family val="2"/>
          </rPr>
          <t xml:space="preserve">記入例の値です。ご自身の年齢に変更してください。</t>
        </r>
      </text>
    </comment>
    <comment ref="B8" authorId="0">
      <text>
        <r>
          <rPr>
            <sz val="10"/>
            <rFont val="WenQuanYi Zen Hei"/>
            <family val="2"/>
          </rPr>
          <t xml:space="preserve">記入例の値です（月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万円）。ご自身の積立額に変更してください。</t>
        </r>
      </text>
    </comment>
    <comment ref="B9" authorId="0">
      <text>
        <r>
          <rPr>
            <sz val="10"/>
            <rFont val="WenQuanYi Zen Hei"/>
            <family val="2"/>
          </rPr>
          <t xml:space="preserve">仮定値（記入例）。過去の実績は将来を保証しません。</t>
        </r>
      </text>
    </comment>
    <comment ref="B12" authorId="0">
      <text>
        <r>
          <rPr>
            <sz val="10"/>
            <rFont val="Arial"/>
            <family val="2"/>
          </rPr>
          <t xml:space="preserve">20.315% = </t>
        </r>
        <r>
          <rPr>
            <sz val="10"/>
            <rFont val="WenQuanYi Zen Hei"/>
            <family val="2"/>
          </rPr>
          <t xml:space="preserve">所得税</t>
        </r>
        <r>
          <rPr>
            <sz val="10"/>
            <rFont val="Arial"/>
            <family val="2"/>
          </rPr>
          <t xml:space="preserve">15% + </t>
        </r>
        <r>
          <rPr>
            <sz val="10"/>
            <rFont val="WenQuanYi Zen Hei"/>
            <family val="2"/>
          </rPr>
          <t xml:space="preserve">復興特別所得税</t>
        </r>
        <r>
          <rPr>
            <sz val="10"/>
            <rFont val="Arial"/>
            <family val="2"/>
          </rPr>
          <t xml:space="preserve">0.315% + </t>
        </r>
        <r>
          <rPr>
            <sz val="10"/>
            <rFont val="WenQuanYi Zen Hei"/>
            <family val="2"/>
          </rPr>
          <t xml:space="preserve">住民税</t>
        </r>
        <r>
          <rPr>
            <sz val="10"/>
            <rFont val="Arial"/>
            <family val="2"/>
          </rPr>
          <t xml:space="preserve">5%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CSV</t>
        </r>
        <r>
          <rPr>
            <sz val="10"/>
            <rFont val="WenQuanYi Zen Hei"/>
            <family val="2"/>
          </rPr>
          <t xml:space="preserve">をダウンロードした日付を入力（取込スクリプトが自動で記入します）</t>
        </r>
      </text>
    </comment>
    <comment ref="F10" authorId="0">
      <text>
        <r>
          <rPr>
            <sz val="10"/>
            <rFont val="WenQuanYi Zen Hei"/>
            <family val="2"/>
          </rPr>
          <t xml:space="preserve">投資信託は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万口あたり、米国株はドル建ての価格です（参考表示のみ。集計には使いません）</t>
        </r>
      </text>
    </comment>
    <comment ref="H10" authorId="0">
      <text>
        <r>
          <rPr>
            <sz val="10"/>
            <rFont val="WenQuanYi Zen Hei"/>
            <family val="2"/>
          </rPr>
          <t xml:space="preserve">楽天証券</t>
        </r>
        <r>
          <rPr>
            <sz val="10"/>
            <rFont val="Arial"/>
            <family val="2"/>
          </rPr>
          <t xml:space="preserve">CSV</t>
        </r>
        <r>
          <rPr>
            <sz val="10"/>
            <rFont val="WenQuanYi Zen Hei"/>
            <family val="2"/>
          </rPr>
          <t xml:space="preserve">の「時価評価額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円</t>
        </r>
        <r>
          <rPr>
            <sz val="10"/>
            <rFont val="Arial"/>
            <family val="2"/>
          </rPr>
          <t xml:space="preserve">]</t>
        </r>
        <r>
          <rPr>
            <sz val="10"/>
            <rFont val="WenQuanYi Zen Hei"/>
            <family val="2"/>
          </rPr>
          <t xml:space="preserve">」をそのまま入力。外国株・投信も円換算後の値を使います。</t>
        </r>
      </text>
    </comment>
  </commentList>
</comments>
</file>

<file path=xl/sharedStrings.xml><?xml version="1.0" encoding="utf-8"?>
<sst xmlns="http://schemas.openxmlformats.org/spreadsheetml/2006/main" count="109" uniqueCount="97">
  <si>
    <t xml:space="preserve">資産運用シミュレーション（楽天証券の保有資産と連動）</t>
  </si>
  <si>
    <r>
      <rPr>
        <b val="true"/>
        <sz val="11"/>
        <color rgb="FF000000"/>
        <rFont val="WenQuanYi Zen Hei"/>
        <family val="2"/>
      </rPr>
      <t xml:space="preserve">■ 手順</t>
    </r>
    <r>
      <rPr>
        <b val="true"/>
        <sz val="11"/>
        <color rgb="FF000000"/>
        <rFont val="游ゴシック"/>
        <family val="0"/>
        <charset val="1"/>
      </rPr>
      <t xml:space="preserve">1</t>
    </r>
    <r>
      <rPr>
        <b val="true"/>
        <sz val="11"/>
        <color rgb="FF000000"/>
        <rFont val="WenQuanYi Zen Hei"/>
        <family val="2"/>
      </rPr>
      <t xml:space="preserve">：楽天証券から保有資産を</t>
    </r>
    <r>
      <rPr>
        <b val="true"/>
        <sz val="11"/>
        <color rgb="FF000000"/>
        <rFont val="游ゴシック"/>
        <family val="0"/>
        <charset val="1"/>
      </rPr>
      <t xml:space="preserve">CSV</t>
    </r>
    <r>
      <rPr>
        <b val="true"/>
        <sz val="11"/>
        <color rgb="FF000000"/>
        <rFont val="WenQuanYi Zen Hei"/>
        <family val="2"/>
      </rPr>
      <t xml:space="preserve">で保存</t>
    </r>
  </si>
  <si>
    <r>
      <rPr>
        <sz val="10"/>
        <color rgb="FF000000"/>
        <rFont val="WenQuanYi Zen Hei"/>
        <family val="2"/>
      </rPr>
      <t xml:space="preserve">　・楽天証券の</t>
    </r>
    <r>
      <rPr>
        <sz val="10"/>
        <color rgb="FF000000"/>
        <rFont val="游ゴシック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サイト（</t>
    </r>
    <r>
      <rPr>
        <sz val="10"/>
        <color rgb="FF000000"/>
        <rFont val="游ゴシック"/>
        <family val="0"/>
        <charset val="1"/>
      </rPr>
      <t xml:space="preserve">PC</t>
    </r>
    <r>
      <rPr>
        <sz val="10"/>
        <color rgb="FF000000"/>
        <rFont val="WenQuanYi Zen Hei"/>
        <family val="2"/>
      </rPr>
      <t xml:space="preserve">版）にログインし、「口座管理」→「保有商品一覧」を開く</t>
    </r>
  </si>
  <si>
    <r>
      <rPr>
        <sz val="10"/>
        <color rgb="FF000000"/>
        <rFont val="WenQuanYi Zen Hei"/>
        <family val="2"/>
      </rPr>
      <t xml:space="preserve">　・画面上の「</t>
    </r>
    <r>
      <rPr>
        <sz val="10"/>
        <color rgb="FF000000"/>
        <rFont val="游ゴシック"/>
        <family val="0"/>
        <charset val="1"/>
      </rPr>
      <t xml:space="preserve">CSV</t>
    </r>
    <r>
      <rPr>
        <sz val="10"/>
        <color rgb="FF000000"/>
        <rFont val="WenQuanYi Zen Hei"/>
        <family val="2"/>
      </rPr>
      <t xml:space="preserve">で保存」から保有商品一覧の</t>
    </r>
    <r>
      <rPr>
        <sz val="10"/>
        <color rgb="FF000000"/>
        <rFont val="游ゴシック"/>
        <family val="0"/>
        <charset val="1"/>
      </rPr>
      <t xml:space="preserve">CSV</t>
    </r>
    <r>
      <rPr>
        <sz val="10"/>
        <color rgb="FF000000"/>
        <rFont val="WenQuanYi Zen Hei"/>
        <family val="2"/>
      </rPr>
      <t xml:space="preserve">ファイルをダウンロード</t>
    </r>
  </si>
  <si>
    <r>
      <rPr>
        <sz val="10"/>
        <color rgb="FF000000"/>
        <rFont val="WenQuanYi Zen Hei"/>
        <family val="2"/>
      </rPr>
      <t xml:space="preserve">　　※スマホアプリ（</t>
    </r>
    <r>
      <rPr>
        <sz val="10"/>
        <color rgb="FF000000"/>
        <rFont val="游ゴシック"/>
        <family val="0"/>
        <charset val="1"/>
      </rPr>
      <t xml:space="preserve">iSPEED</t>
    </r>
    <r>
      <rPr>
        <sz val="10"/>
        <color rgb="FF000000"/>
        <rFont val="WenQuanYi Zen Hei"/>
        <family val="2"/>
      </rPr>
      <t xml:space="preserve">）では</t>
    </r>
    <r>
      <rPr>
        <sz val="10"/>
        <color rgb="FF000000"/>
        <rFont val="游ゴシック"/>
        <family val="0"/>
        <charset val="1"/>
      </rPr>
      <t xml:space="preserve">CSV</t>
    </r>
    <r>
      <rPr>
        <sz val="10"/>
        <color rgb="FF000000"/>
        <rFont val="WenQuanYi Zen Hei"/>
        <family val="2"/>
      </rPr>
      <t xml:space="preserve">を保存できないため、ブラウザの</t>
    </r>
    <r>
      <rPr>
        <sz val="10"/>
        <color rgb="FF000000"/>
        <rFont val="游ゴシック"/>
        <family val="0"/>
        <charset val="1"/>
      </rPr>
      <t xml:space="preserve">PC</t>
    </r>
    <r>
      <rPr>
        <sz val="10"/>
        <color rgb="FF000000"/>
        <rFont val="WenQuanYi Zen Hei"/>
        <family val="2"/>
      </rPr>
      <t xml:space="preserve">版サイトを使ってください</t>
    </r>
  </si>
  <si>
    <r>
      <rPr>
        <b val="true"/>
        <sz val="11"/>
        <color rgb="FF000000"/>
        <rFont val="WenQuanYi Zen Hei"/>
        <family val="2"/>
      </rPr>
      <t xml:space="preserve">■ 手順</t>
    </r>
    <r>
      <rPr>
        <b val="true"/>
        <sz val="11"/>
        <color rgb="FF000000"/>
        <rFont val="游ゴシック"/>
        <family val="0"/>
        <charset val="1"/>
      </rPr>
      <t xml:space="preserve">2</t>
    </r>
    <r>
      <rPr>
        <b val="true"/>
        <sz val="11"/>
        <color rgb="FF000000"/>
        <rFont val="WenQuanYi Zen Hei"/>
        <family val="2"/>
      </rPr>
      <t xml:space="preserve">：「保有資産」シートに取り込む（どちらか一つ）</t>
    </r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</si>
  <si>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游ゴシック"/>
        <family val="0"/>
        <charset val="1"/>
      </rPr>
      <t xml:space="preserve">A. CSV</t>
    </r>
    <r>
      <rPr>
        <sz val="10"/>
        <color rgb="FF000000"/>
        <rFont val="WenQuanYi Zen Hei"/>
        <family val="2"/>
      </rPr>
      <t xml:space="preserve">ファイルを</t>
    </r>
    <r>
      <rPr>
        <sz val="10"/>
        <color rgb="FF000000"/>
        <rFont val="游ゴシック"/>
        <family val="0"/>
        <charset val="1"/>
      </rPr>
      <t xml:space="preserve">Claude</t>
    </r>
    <r>
      <rPr>
        <sz val="10"/>
        <color rgb="FF000000"/>
        <rFont val="WenQuanYi Zen Hei"/>
        <family val="2"/>
      </rPr>
      <t xml:space="preserve">とのチャットにアップロードする → </t>
    </r>
    <r>
      <rPr>
        <sz val="10"/>
        <color rgb="FF000000"/>
        <rFont val="游ゴシック"/>
        <family val="0"/>
        <charset val="1"/>
      </rPr>
      <t xml:space="preserve">Claude</t>
    </r>
    <r>
      <rPr>
        <sz val="10"/>
        <color rgb="FF000000"/>
        <rFont val="WenQuanYi Zen Hei"/>
        <family val="2"/>
      </rPr>
      <t xml:space="preserve">が取り込みを行います</t>
    </r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</si>
  <si>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游ゴシック"/>
        <family val="0"/>
        <charset val="1"/>
      </rPr>
      <t xml:space="preserve">B. PC</t>
    </r>
    <r>
      <rPr>
        <sz val="10"/>
        <color rgb="FF000000"/>
        <rFont val="WenQuanYi Zen Hei"/>
        <family val="2"/>
      </rPr>
      <t xml:space="preserve">に</t>
    </r>
    <r>
      <rPr>
        <sz val="10"/>
        <color rgb="FF000000"/>
        <rFont val="游ゴシック"/>
        <family val="0"/>
        <charset val="1"/>
      </rPr>
      <t xml:space="preserve">Python</t>
    </r>
    <r>
      <rPr>
        <sz val="10"/>
        <color rgb="FF000000"/>
        <rFont val="WenQuanYi Zen Hei"/>
        <family val="2"/>
      </rPr>
      <t xml:space="preserve">がある場合：</t>
    </r>
    <r>
      <rPr>
        <sz val="10"/>
        <color rgb="FF000000"/>
        <rFont val="游ゴシック"/>
        <family val="0"/>
        <charset val="1"/>
      </rPr>
      <t xml:space="preserve">python </t>
    </r>
    <r>
      <rPr>
        <sz val="10"/>
        <color rgb="FF000000"/>
        <rFont val="WenQuanYi Zen Hei"/>
        <family val="2"/>
      </rPr>
      <t xml:space="preserve">楽天証券</t>
    </r>
    <r>
      <rPr>
        <sz val="10"/>
        <color rgb="FF000000"/>
        <rFont val="游ゴシック"/>
        <family val="0"/>
        <charset val="1"/>
      </rPr>
      <t xml:space="preserve">CSV</t>
    </r>
    <r>
      <rPr>
        <sz val="10"/>
        <color rgb="FF000000"/>
        <rFont val="WenQuanYi Zen Hei"/>
        <family val="2"/>
      </rPr>
      <t xml:space="preserve">取込</t>
    </r>
    <r>
      <rPr>
        <sz val="10"/>
        <color rgb="FF000000"/>
        <rFont val="游ゴシック"/>
        <family val="0"/>
        <charset val="1"/>
      </rPr>
      <t xml:space="preserve">.py </t>
    </r>
    <r>
      <rPr>
        <sz val="10"/>
        <color rgb="FF000000"/>
        <rFont val="WenQuanYi Zen Hei"/>
        <family val="2"/>
      </rPr>
      <t xml:space="preserve">保有商品一覧</t>
    </r>
    <r>
      <rPr>
        <sz val="10"/>
        <color rgb="FF000000"/>
        <rFont val="游ゴシック"/>
        <family val="0"/>
        <charset val="1"/>
      </rPr>
      <t xml:space="preserve">.csv </t>
    </r>
    <r>
      <rPr>
        <sz val="10"/>
        <color rgb="FF000000"/>
        <rFont val="WenQuanYi Zen Hei"/>
        <family val="2"/>
      </rPr>
      <t xml:space="preserve">資産運用シミュレーション</t>
    </r>
    <r>
      <rPr>
        <sz val="10"/>
        <color rgb="FF000000"/>
        <rFont val="游ゴシック"/>
        <family val="0"/>
        <charset val="1"/>
      </rPr>
      <t xml:space="preserve">.xlsx</t>
    </r>
  </si>
  <si>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游ゴシック"/>
        <family val="0"/>
        <charset val="1"/>
      </rPr>
      <t xml:space="preserve">C. </t>
    </r>
    <r>
      <rPr>
        <sz val="10"/>
        <color rgb="FF000000"/>
        <rFont val="WenQuanYi Zen Hei"/>
        <family val="2"/>
      </rPr>
      <t xml:space="preserve">手入力：</t>
    </r>
    <r>
      <rPr>
        <sz val="10"/>
        <color rgb="FF000000"/>
        <rFont val="游ゴシック"/>
        <family val="0"/>
        <charset val="1"/>
      </rPr>
      <t xml:space="preserve">CSV</t>
    </r>
    <r>
      <rPr>
        <sz val="10"/>
        <color rgb="FF000000"/>
        <rFont val="WenQuanYi Zen Hei"/>
        <family val="2"/>
      </rPr>
      <t xml:space="preserve">の各列の値を「保有資産」シートの黄色の列にコピー＆貼り付け</t>
    </r>
  </si>
  <si>
    <r>
      <rPr>
        <b val="true"/>
        <sz val="11"/>
        <color rgb="FF000000"/>
        <rFont val="WenQuanYi Zen Hei"/>
        <family val="2"/>
      </rPr>
      <t xml:space="preserve">■ 手順</t>
    </r>
    <r>
      <rPr>
        <b val="true"/>
        <sz val="11"/>
        <color rgb="FF000000"/>
        <rFont val="游ゴシック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：「シミュレーション」シートの黄色いセルを入力</t>
    </r>
  </si>
  <si>
    <t xml:space="preserve">　・毎月の積立額（楽天証券の「積立設定一覧」で確認できます）、想定利回り、運用期間など</t>
  </si>
  <si>
    <t xml:space="preserve">　・保有資産の時価評価額合計が自動で「初期資産」になります（手入力欄に入れるとそちらが優先）</t>
  </si>
  <si>
    <t xml:space="preserve">■ セルの色の意味</t>
  </si>
  <si>
    <t xml:space="preserve">　黄色の背景＋青字：入力するセル　／　緑字：他のシートから自動で参照　／　黒字：自動計算</t>
  </si>
  <si>
    <t xml:space="preserve">■ 計算の前提・注意</t>
  </si>
  <si>
    <t xml:space="preserve">　・積立は毎月末に行い、運用益は月複利で再投資するものとして計算（年利回りを月利に換算）</t>
  </si>
  <si>
    <t xml:space="preserve">　・現在の保有資産は時価評価額を「元本」とみなします（現時点の含み益への課税は考慮していません）</t>
  </si>
  <si>
    <r>
      <rPr>
        <sz val="10"/>
        <color rgb="FF000000"/>
        <rFont val="WenQuanYi Zen Hei"/>
        <family val="2"/>
      </rPr>
      <t xml:space="preserve">　・税率は運用益全体に一括でかけます。</t>
    </r>
    <r>
      <rPr>
        <sz val="10"/>
        <color rgb="FF000000"/>
        <rFont val="游ゴシック"/>
        <family val="0"/>
        <charset val="1"/>
      </rPr>
      <t xml:space="preserve">NISA</t>
    </r>
    <r>
      <rPr>
        <sz val="10"/>
        <color rgb="FF000000"/>
        <rFont val="WenQuanYi Zen Hei"/>
        <family val="2"/>
      </rPr>
      <t xml:space="preserve">口座なら</t>
    </r>
    <r>
      <rPr>
        <sz val="10"/>
        <color rgb="FF000000"/>
        <rFont val="游ゴシック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、特定口座・一般口座なら</t>
    </r>
    <r>
      <rPr>
        <sz val="10"/>
        <color rgb="FF000000"/>
        <rFont val="游ゴシック"/>
        <family val="0"/>
        <charset val="1"/>
      </rPr>
      <t xml:space="preserve">20.315%</t>
    </r>
    <r>
      <rPr>
        <sz val="10"/>
        <color rgb="FF000000"/>
        <rFont val="WenQuanYi Zen Hei"/>
        <family val="2"/>
      </rPr>
      <t xml:space="preserve">が目安です</t>
    </r>
  </si>
  <si>
    <r>
      <rPr>
        <sz val="10"/>
        <color rgb="FF000000"/>
        <rFont val="WenQuanYi Zen Hei"/>
        <family val="2"/>
      </rPr>
      <t xml:space="preserve">　・</t>
    </r>
    <r>
      <rPr>
        <sz val="10"/>
        <color rgb="FF000000"/>
        <rFont val="游ゴシック"/>
        <family val="0"/>
        <charset val="1"/>
      </rPr>
      <t xml:space="preserve">NISA</t>
    </r>
    <r>
      <rPr>
        <sz val="10"/>
        <color rgb="FF000000"/>
        <rFont val="WenQuanYi Zen Hei"/>
        <family val="2"/>
      </rPr>
      <t xml:space="preserve">の非課税投資枠（年間</t>
    </r>
    <r>
      <rPr>
        <sz val="10"/>
        <color rgb="FF000000"/>
        <rFont val="游ゴシック"/>
        <family val="0"/>
        <charset val="1"/>
      </rPr>
      <t xml:space="preserve">360</t>
    </r>
    <r>
      <rPr>
        <sz val="10"/>
        <color rgb="FF000000"/>
        <rFont val="WenQuanYi Zen Hei"/>
        <family val="2"/>
      </rPr>
      <t xml:space="preserve">万円・生涯</t>
    </r>
    <r>
      <rPr>
        <sz val="10"/>
        <color rgb="FF000000"/>
        <rFont val="游ゴシック"/>
        <family val="0"/>
        <charset val="1"/>
      </rPr>
      <t xml:space="preserve">1,800</t>
    </r>
    <r>
      <rPr>
        <sz val="10"/>
        <color rgb="FF000000"/>
        <rFont val="WenQuanYi Zen Hei"/>
        <family val="2"/>
      </rPr>
      <t xml:space="preserve">万円）の上限チェックは行っていません</t>
    </r>
  </si>
  <si>
    <t xml:space="preserve">　・実際の運用成果は市場の変動で大きく上下します。将来の結果を保証するものではありません</t>
  </si>
  <si>
    <t xml:space="preserve">資産運用シミュレーション</t>
  </si>
  <si>
    <t xml:space="preserve">入力項目（黄色のセルを入力）</t>
  </si>
  <si>
    <t xml:space="preserve">現在の年齢</t>
  </si>
  <si>
    <t xml:space="preserve">歳</t>
  </si>
  <si>
    <t xml:space="preserve">現在の保有資産（楽天証券）</t>
  </si>
  <si>
    <t xml:space="preserve">円</t>
  </si>
  <si>
    <t xml:space="preserve">「保有資産」シートの時価評価額合計</t>
  </si>
  <si>
    <t xml:space="preserve">初期資産の手入力（任意）</t>
  </si>
  <si>
    <t xml:space="preserve">入力するとこちらを優先（空欄なら上の値を使用）</t>
  </si>
  <si>
    <t xml:space="preserve">シミュレーションに使う初期資産</t>
  </si>
  <si>
    <t xml:space="preserve">毎月の積立額</t>
  </si>
  <si>
    <t xml:space="preserve">楽天証券の「積立設定一覧」の合計額</t>
  </si>
  <si>
    <t xml:space="preserve">想定年利回り</t>
  </si>
  <si>
    <r>
      <rPr>
        <sz val="9"/>
        <color rgb="FF595959"/>
        <rFont val="WenQuanYi Zen Hei"/>
        <family val="2"/>
      </rPr>
      <t xml:space="preserve">例：全世界株式 </t>
    </r>
    <r>
      <rPr>
        <sz val="9"/>
        <color rgb="FF595959"/>
        <rFont val="游ゴシック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游ゴシック"/>
        <family val="0"/>
        <charset val="1"/>
      </rPr>
      <t xml:space="preserve">7%</t>
    </r>
    <r>
      <rPr>
        <sz val="9"/>
        <color rgb="FF595959"/>
        <rFont val="WenQuanYi Zen Hei"/>
        <family val="2"/>
      </rPr>
      <t xml:space="preserve">／バランス型 </t>
    </r>
    <r>
      <rPr>
        <sz val="9"/>
        <color rgb="FF595959"/>
        <rFont val="游ゴシック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游ゴシック"/>
        <family val="0"/>
        <charset val="1"/>
      </rPr>
      <t xml:space="preserve">4%</t>
    </r>
  </si>
  <si>
    <t xml:space="preserve">運用期間</t>
  </si>
  <si>
    <t xml:space="preserve">年</t>
  </si>
  <si>
    <r>
      <rPr>
        <sz val="9"/>
        <color rgb="FF595959"/>
        <rFont val="游ゴシック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游ゴシック"/>
        <family val="0"/>
        <charset val="1"/>
      </rPr>
      <t xml:space="preserve">50</t>
    </r>
    <r>
      <rPr>
        <sz val="9"/>
        <color rgb="FF595959"/>
        <rFont val="WenQuanYi Zen Hei"/>
        <family val="2"/>
      </rPr>
      <t xml:space="preserve">年</t>
    </r>
  </si>
  <si>
    <t xml:space="preserve">積立額の年間増加率</t>
  </si>
  <si>
    <r>
      <rPr>
        <sz val="9"/>
        <color rgb="FF595959"/>
        <rFont val="WenQuanYi Zen Hei"/>
        <family val="2"/>
      </rPr>
      <t xml:space="preserve">毎年積立額を増やす場合（例：</t>
    </r>
    <r>
      <rPr>
        <sz val="9"/>
        <color rgb="FF595959"/>
        <rFont val="游ゴシック"/>
        <family val="0"/>
        <charset val="1"/>
      </rPr>
      <t xml:space="preserve">3%</t>
    </r>
    <r>
      <rPr>
        <sz val="9"/>
        <color rgb="FF595959"/>
        <rFont val="WenQuanYi Zen Hei"/>
        <family val="2"/>
      </rPr>
      <t xml:space="preserve">）</t>
    </r>
  </si>
  <si>
    <t xml:space="preserve">運用益にかかる税率</t>
  </si>
  <si>
    <r>
      <rPr>
        <sz val="9"/>
        <color rgb="FF595959"/>
        <rFont val="游ゴシック"/>
        <family val="0"/>
        <charset val="1"/>
      </rPr>
      <t xml:space="preserve">NISA</t>
    </r>
    <r>
      <rPr>
        <sz val="9"/>
        <color rgb="FF595959"/>
        <rFont val="WenQuanYi Zen Hei"/>
        <family val="2"/>
      </rPr>
      <t xml:space="preserve">は</t>
    </r>
    <r>
      <rPr>
        <sz val="9"/>
        <color rgb="FF595959"/>
        <rFont val="游ゴシック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、特定口座・一般口座は</t>
    </r>
    <r>
      <rPr>
        <sz val="9"/>
        <color rgb="FF595959"/>
        <rFont val="游ゴシック"/>
        <family val="0"/>
        <charset val="1"/>
      </rPr>
      <t xml:space="preserve">20.315%</t>
    </r>
  </si>
  <si>
    <t xml:space="preserve">想定インフレ率</t>
  </si>
  <si>
    <t xml:space="preserve">将来の金額を今の価値に換算するために使用</t>
  </si>
  <si>
    <t xml:space="preserve">月利（年利回りから換算）</t>
  </si>
  <si>
    <t xml:space="preserve">計算用</t>
  </si>
  <si>
    <t xml:space="preserve">結果</t>
  </si>
  <si>
    <t xml:space="preserve">運用終了時の年齢</t>
  </si>
  <si>
    <t xml:space="preserve">投資元本の合計</t>
  </si>
  <si>
    <t xml:space="preserve">最終資産額</t>
  </si>
  <si>
    <t xml:space="preserve">運用益</t>
  </si>
  <si>
    <t xml:space="preserve">税引後の受取額</t>
  </si>
  <si>
    <t xml:space="preserve">今の価値に換算（インフレ考慮）</t>
  </si>
  <si>
    <r>
      <rPr>
        <sz val="10"/>
        <color rgb="FF000000"/>
        <rFont val="WenQuanYi Zen Hei"/>
        <family val="2"/>
      </rPr>
      <t xml:space="preserve">資産倍率（最終資産額</t>
    </r>
    <r>
      <rPr>
        <sz val="10"/>
        <color rgb="FF000000"/>
        <rFont val="游ゴシック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元本）</t>
    </r>
  </si>
  <si>
    <t xml:space="preserve">倍</t>
  </si>
  <si>
    <r>
      <rPr>
        <b val="true"/>
        <sz val="14"/>
        <color rgb="FF000000"/>
        <rFont val="WenQuanYi Zen Hei"/>
        <family val="2"/>
      </rPr>
      <t xml:space="preserve">楽天証券 保有資産（保有商品一覧</t>
    </r>
    <r>
      <rPr>
        <b val="true"/>
        <sz val="14"/>
        <color rgb="FF000000"/>
        <rFont val="游ゴシック"/>
        <family val="0"/>
        <charset val="1"/>
      </rPr>
      <t xml:space="preserve">CSV</t>
    </r>
    <r>
      <rPr>
        <b val="true"/>
        <sz val="14"/>
        <color rgb="FF000000"/>
        <rFont val="WenQuanYi Zen Hei"/>
        <family val="2"/>
      </rPr>
      <t xml:space="preserve">より）</t>
    </r>
  </si>
  <si>
    <t xml:space="preserve">データ取得日</t>
  </si>
  <si>
    <t xml:space="preserve">口座区分別（円）</t>
  </si>
  <si>
    <t xml:space="preserve">商品種別（円）</t>
  </si>
  <si>
    <t xml:space="preserve">時価評価額 合計（円）</t>
  </si>
  <si>
    <r>
      <rPr>
        <sz val="10"/>
        <color rgb="FF000000"/>
        <rFont val="游ゴシック"/>
        <family val="0"/>
        <charset val="1"/>
      </rPr>
      <t xml:space="preserve">NISA</t>
    </r>
    <r>
      <rPr>
        <sz val="10"/>
        <color rgb="FF000000"/>
        <rFont val="WenQuanYi Zen Hei"/>
        <family val="2"/>
      </rPr>
      <t xml:space="preserve">口座</t>
    </r>
  </si>
  <si>
    <t xml:space="preserve">国内株式</t>
  </si>
  <si>
    <t xml:space="preserve">評価損益 合計（円）</t>
  </si>
  <si>
    <t xml:space="preserve">特定口座</t>
  </si>
  <si>
    <t xml:space="preserve">米国株式</t>
  </si>
  <si>
    <t xml:space="preserve">取得額 合計（円）</t>
  </si>
  <si>
    <t xml:space="preserve">一般口座</t>
  </si>
  <si>
    <t xml:space="preserve">投資信託</t>
  </si>
  <si>
    <t xml:space="preserve">評価損益率</t>
  </si>
  <si>
    <r>
      <rPr>
        <sz val="10"/>
        <color rgb="FF595959"/>
        <rFont val="WenQuanYi Zen Hei"/>
        <family val="2"/>
      </rPr>
      <t xml:space="preserve">（構成比 </t>
    </r>
    <r>
      <rPr>
        <sz val="10"/>
        <color rgb="FF595959"/>
        <rFont val="游ゴシック"/>
        <family val="0"/>
        <charset val="1"/>
      </rPr>
      <t xml:space="preserve">NISA</t>
    </r>
    <r>
      <rPr>
        <sz val="10"/>
        <color rgb="FF595959"/>
        <rFont val="WenQuanYi Zen Hei"/>
        <family val="2"/>
      </rPr>
      <t xml:space="preserve">）</t>
    </r>
  </si>
  <si>
    <t xml:space="preserve">その他</t>
  </si>
  <si>
    <t xml:space="preserve">（例）</t>
  </si>
  <si>
    <r>
      <rPr>
        <i val="true"/>
        <sz val="10"/>
        <color rgb="FF7F7F7F"/>
        <rFont val="游ゴシック"/>
        <family val="0"/>
        <charset val="1"/>
      </rPr>
      <t xml:space="preserve">eMAXIS Slim </t>
    </r>
    <r>
      <rPr>
        <i val="true"/>
        <sz val="10"/>
        <color rgb="FF7F7F7F"/>
        <rFont val="WenQuanYi Zen Hei"/>
        <family val="2"/>
      </rPr>
      <t xml:space="preserve">全世界株式</t>
    </r>
    <r>
      <rPr>
        <i val="true"/>
        <sz val="10"/>
        <color rgb="FF7F7F7F"/>
        <rFont val="游ゴシック"/>
        <family val="0"/>
        <charset val="1"/>
      </rPr>
      <t xml:space="preserve">(</t>
    </r>
    <r>
      <rPr>
        <i val="true"/>
        <sz val="10"/>
        <color rgb="FF7F7F7F"/>
        <rFont val="WenQuanYi Zen Hei"/>
        <family val="2"/>
      </rPr>
      <t xml:space="preserve">オール・カントリー</t>
    </r>
    <r>
      <rPr>
        <i val="true"/>
        <sz val="10"/>
        <color rgb="FF7F7F7F"/>
        <rFont val="游ゴシック"/>
        <family val="0"/>
        <charset val="1"/>
      </rPr>
      <t xml:space="preserve">)</t>
    </r>
  </si>
  <si>
    <r>
      <rPr>
        <i val="true"/>
        <sz val="10"/>
        <color rgb="FF7F7F7F"/>
        <rFont val="游ゴシック"/>
        <family val="0"/>
        <charset val="1"/>
      </rPr>
      <t xml:space="preserve">NISA</t>
    </r>
    <r>
      <rPr>
        <i val="true"/>
        <sz val="10"/>
        <color rgb="FF7F7F7F"/>
        <rFont val="WenQuanYi Zen Hei"/>
        <family val="2"/>
      </rPr>
      <t xml:space="preserve">つみたて投資枠</t>
    </r>
  </si>
  <si>
    <t xml:space="preserve">← 記入例（集計に含まれません）</t>
  </si>
  <si>
    <t xml:space="preserve">種別</t>
  </si>
  <si>
    <t xml:space="preserve">銘柄コード・
ティッカー</t>
  </si>
  <si>
    <t xml:space="preserve">銘柄名</t>
  </si>
  <si>
    <t xml:space="preserve">口座</t>
  </si>
  <si>
    <t xml:space="preserve">保有数量</t>
  </si>
  <si>
    <t xml:space="preserve">平均取得価額</t>
  </si>
  <si>
    <t xml:space="preserve">現在値</t>
  </si>
  <si>
    <t xml:space="preserve">時価評価額
（円）</t>
  </si>
  <si>
    <t xml:space="preserve">評価損益
（円）</t>
  </si>
  <si>
    <t xml:space="preserve">年次推移（運用期間を過ぎた年は空欄）</t>
  </si>
  <si>
    <t xml:space="preserve">金額の単位：円　／　積立は毎月末、月複利で計算</t>
  </si>
  <si>
    <t xml:space="preserve">年目</t>
  </si>
  <si>
    <t xml:space="preserve">年齢</t>
  </si>
  <si>
    <t xml:space="preserve">年間積立額</t>
  </si>
  <si>
    <t xml:space="preserve">元本累計</t>
  </si>
  <si>
    <t xml:space="preserve">年末の資産残高</t>
  </si>
  <si>
    <t xml:space="preserve">運用益累計</t>
  </si>
  <si>
    <t xml:space="preserve">税引後の資産</t>
  </si>
  <si>
    <t xml:space="preserve">今の価値に換算</t>
  </si>
  <si>
    <r>
      <rPr>
        <b val="true"/>
        <sz val="14"/>
        <color rgb="FF000000"/>
        <rFont val="WenQuanYi Zen Hei"/>
        <family val="2"/>
      </rPr>
      <t xml:space="preserve">利回り</t>
    </r>
    <r>
      <rPr>
        <b val="true"/>
        <sz val="14"/>
        <color rgb="FF000000"/>
        <rFont val="游ゴシック"/>
        <family val="0"/>
        <charset val="1"/>
      </rPr>
      <t xml:space="preserve">×</t>
    </r>
    <r>
      <rPr>
        <b val="true"/>
        <sz val="14"/>
        <color rgb="FF000000"/>
        <rFont val="WenQuanYi Zen Hei"/>
        <family val="2"/>
      </rPr>
      <t xml:space="preserve">運用期間 別の最終資産額（円）</t>
    </r>
  </si>
  <si>
    <t xml:space="preserve">初期資産・毎月の積立額は「シミュレーション」シートの値を使用。積立額の増加率と税金は反映していません。</t>
  </si>
  <si>
    <t xml:space="preserve">年利回り ＼ 期間</t>
  </si>
  <si>
    <t xml:space="preserve">（参考）元本合計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</si>
</sst>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;\▲#,##0;\-"/>
    <numFmt numFmtId="167" formatCode="0.0%"/>
    <numFmt numFmtId="168" formatCode="0.000%"/>
    <numFmt numFmtId="169" formatCode="0.0000%"/>
    <numFmt numFmtId="170" formatCode="0.00"/>
    <numFmt numFmtId="171" formatCode="#,##0"/>
    <numFmt numFmtId="172" formatCode="yyyy/mm/dd"/>
    <numFmt numFmtId="173" formatCode="0.0%;\▲0.0%;\-"/>
    <numFmt numFmtId="174" formatCode="#,##0.####"/>
    <numFmt numFmtId="175" formatCode="0\年"/>
    <numFmt numFmtId="176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"/>
      <family val="0"/>
      <charset val="1"/>
    </font>
    <font>
      <b val="true"/>
      <sz val="14"/>
      <color rgb="FF000000"/>
      <name val="WenQuanYi Zen Hei"/>
      <family val="2"/>
    </font>
    <font>
      <sz val="10"/>
      <color rgb="FF000000"/>
      <name val="游ゴシック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00"/>
      <name val="游ゴシック"/>
      <family val="0"/>
      <charset val="1"/>
    </font>
    <font>
      <sz val="10"/>
      <color rgb="FF000000"/>
      <name val="WenQuanYi Zen Hei"/>
      <family val="2"/>
    </font>
    <font>
      <sz val="10"/>
      <color rgb="FF0000FF"/>
      <name val="游ゴシック"/>
      <family val="0"/>
      <charset val="1"/>
    </font>
    <font>
      <sz val="9"/>
      <color rgb="FF595959"/>
      <name val="游ゴシック"/>
      <family val="0"/>
      <charset val="1"/>
    </font>
    <font>
      <sz val="10"/>
      <color rgb="FF008000"/>
      <name val="游ゴシック"/>
      <family val="0"/>
      <charset val="1"/>
    </font>
    <font>
      <sz val="9"/>
      <color rgb="FF595959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2"/>
      <color rgb="FF000000"/>
      <name val="游ゴシック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4"/>
      <color rgb="FF000000"/>
      <name val="游ゴシック"/>
      <family val="0"/>
      <charset val="1"/>
    </font>
    <font>
      <b val="true"/>
      <sz val="10"/>
      <color rgb="FF000000"/>
      <name val="游ゴシック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i val="true"/>
      <sz val="10"/>
      <color rgb="FF7F7F7F"/>
      <name val="WenQuanYi Zen Hei"/>
      <family val="2"/>
    </font>
    <font>
      <i val="true"/>
      <sz val="10"/>
      <color rgb="FF7F7F7F"/>
      <name val="游ゴシック"/>
      <family val="0"/>
      <charset val="1"/>
    </font>
    <font>
      <sz val="10"/>
      <color rgb="FF7F7F7F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游ゴシック"/>
      <family val="0"/>
      <charset val="1"/>
    </font>
    <font>
      <b val="true"/>
      <sz val="10"/>
      <color rgb="FF0000FF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資産額の推移（元本＋運用益）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年次推移!E4</c:f>
              <c:strCache>
                <c:ptCount val="1"/>
                <c:pt idx="0">
                  <c:v>元本累計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年次推移!$A$5:$A$55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年次推移!$E$5:$E$55</c:f>
              <c:numCache>
                <c:formatCode>#,##0;\▲#,##0;\-</c:formatCode>
                <c:ptCount val="51"/>
                <c:pt idx="0">
                  <c:v>0</c:v>
                </c:pt>
                <c:pt idx="1">
                  <c:v>360000</c:v>
                </c:pt>
                <c:pt idx="2">
                  <c:v>720000</c:v>
                </c:pt>
                <c:pt idx="3">
                  <c:v>1080000</c:v>
                </c:pt>
                <c:pt idx="4">
                  <c:v>1440000</c:v>
                </c:pt>
                <c:pt idx="5">
                  <c:v>1800000</c:v>
                </c:pt>
                <c:pt idx="6">
                  <c:v>2160000</c:v>
                </c:pt>
                <c:pt idx="7">
                  <c:v>2520000</c:v>
                </c:pt>
                <c:pt idx="8">
                  <c:v>2880000</c:v>
                </c:pt>
                <c:pt idx="9">
                  <c:v>3240000</c:v>
                </c:pt>
                <c:pt idx="10">
                  <c:v>3600000</c:v>
                </c:pt>
                <c:pt idx="11">
                  <c:v>3960000</c:v>
                </c:pt>
                <c:pt idx="12">
                  <c:v>4320000</c:v>
                </c:pt>
                <c:pt idx="13">
                  <c:v>4680000</c:v>
                </c:pt>
                <c:pt idx="14">
                  <c:v>5040000</c:v>
                </c:pt>
                <c:pt idx="15">
                  <c:v>5400000</c:v>
                </c:pt>
                <c:pt idx="16">
                  <c:v>5760000</c:v>
                </c:pt>
                <c:pt idx="17">
                  <c:v>6120000</c:v>
                </c:pt>
                <c:pt idx="18">
                  <c:v>6480000</c:v>
                </c:pt>
                <c:pt idx="19">
                  <c:v>6840000</c:v>
                </c:pt>
                <c:pt idx="20">
                  <c:v>7200000</c:v>
                </c:pt>
              </c:numCache>
            </c:numRef>
          </c:val>
        </c:ser>
        <c:ser>
          <c:idx val="1"/>
          <c:order val="1"/>
          <c:tx>
            <c:strRef>
              <c:f>年次推移!G4</c:f>
              <c:strCache>
                <c:ptCount val="1"/>
                <c:pt idx="0">
                  <c:v>運用益累計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年次推移!$A$5:$A$55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年次推移!$G$5:$G$55</c:f>
              <c:numCache>
                <c:formatCode>#,##0;\▲#,##0;\-</c:formatCode>
                <c:ptCount val="51"/>
                <c:pt idx="0">
                  <c:v>0</c:v>
                </c:pt>
                <c:pt idx="1">
                  <c:v>8177.325887919</c:v>
                </c:pt>
                <c:pt idx="2">
                  <c:v>34763.5180702342</c:v>
                </c:pt>
                <c:pt idx="3">
                  <c:v>80679.0198616656</c:v>
                </c:pt>
                <c:pt idx="4">
                  <c:v>146890.296742669</c:v>
                </c:pt>
                <c:pt idx="5">
                  <c:v>234412.137467722</c:v>
                </c:pt>
                <c:pt idx="6">
                  <c:v>344310.070229029</c:v>
                </c:pt>
                <c:pt idx="7">
                  <c:v>477702.899628401</c:v>
                </c:pt>
                <c:pt idx="8">
                  <c:v>635765.370497742</c:v>
                </c:pt>
                <c:pt idx="9">
                  <c:v>819730.96491055</c:v>
                </c:pt>
                <c:pt idx="10">
                  <c:v>1030894.839044</c:v>
                </c:pt>
                <c:pt idx="11">
                  <c:v>1270616.90688412</c:v>
                </c:pt>
                <c:pt idx="12">
                  <c:v>1540325.07811625</c:v>
                </c:pt>
                <c:pt idx="13">
                  <c:v>1841518.65790999</c:v>
                </c:pt>
                <c:pt idx="14">
                  <c:v>2175771.91669341</c:v>
                </c:pt>
                <c:pt idx="15">
                  <c:v>2544737.83841601</c:v>
                </c:pt>
                <c:pt idx="16">
                  <c:v>2950152.05622473</c:v>
                </c:pt>
                <c:pt idx="17">
                  <c:v>3393836.98492389</c:v>
                </c:pt>
                <c:pt idx="18">
                  <c:v>3877706.16005801</c:v>
                </c:pt>
                <c:pt idx="19">
                  <c:v>4403768.79394884</c:v>
                </c:pt>
                <c:pt idx="20">
                  <c:v>4974134.55953421</c:v>
                </c:pt>
              </c:numCache>
            </c:numRef>
          </c:val>
        </c:ser>
        <c:gapWidth val="40"/>
        <c:overlap val="100"/>
        <c:axId val="22863426"/>
        <c:axId val="77647774"/>
      </c:barChart>
      <c:catAx>
        <c:axId val="228634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47774"/>
        <c:crosses val="autoZero"/>
        <c:auto val="1"/>
        <c:lblAlgn val="ctr"/>
        <c:lblOffset val="100"/>
        <c:noMultiLvlLbl val="0"/>
      </c:catAx>
      <c:valAx>
        <c:axId val="7764777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634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751896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/>
      <c r="B1" s="1"/>
    </row>
    <row r="2" customFormat="false" ht="17.35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/>
    </row>
    <row r="4" customFormat="false" ht="15" hidden="false" customHeight="false" outlineLevel="0" collapsed="false">
      <c r="A4" s="1"/>
      <c r="B4" s="4" t="s">
        <v>1</v>
      </c>
    </row>
    <row r="5" customFormat="false" ht="15" hidden="false" customHeight="false" outlineLevel="0" collapsed="false">
      <c r="A5" s="1"/>
      <c r="B5" s="5" t="s">
        <v>2</v>
      </c>
    </row>
    <row r="6" customFormat="false" ht="15" hidden="false" customHeight="false" outlineLevel="0" collapsed="false">
      <c r="A6" s="1"/>
      <c r="B6" s="5" t="s">
        <v>3</v>
      </c>
    </row>
    <row r="7" customFormat="false" ht="15" hidden="false" customHeight="false" outlineLevel="0" collapsed="false">
      <c r="A7" s="1"/>
      <c r="B7" s="5" t="s">
        <v>4</v>
      </c>
    </row>
    <row r="8" customFormat="false" ht="15" hidden="false" customHeight="false" outlineLevel="0" collapsed="false">
      <c r="A8" s="1"/>
      <c r="B8" s="3"/>
    </row>
    <row r="9" customFormat="false" ht="15" hidden="false" customHeight="false" outlineLevel="0" collapsed="false">
      <c r="A9" s="1"/>
      <c r="B9" s="4" t="s">
        <v>5</v>
      </c>
    </row>
    <row r="10" customFormat="false" ht="15" hidden="false" customHeight="false" outlineLevel="0" collapsed="false">
      <c r="A10" s="1"/>
      <c r="B10" s="5" t="s">
        <v>6</v>
      </c>
    </row>
    <row r="11" customFormat="false" ht="15" hidden="false" customHeight="false" outlineLevel="0" collapsed="false">
      <c r="A11" s="1"/>
      <c r="B11" s="5" t="s">
        <v>7</v>
      </c>
    </row>
    <row r="12" customFormat="false" ht="15" hidden="false" customHeight="false" outlineLevel="0" collapsed="false">
      <c r="A12" s="1"/>
      <c r="B12" s="5" t="s">
        <v>8</v>
      </c>
    </row>
    <row r="13" customFormat="false" ht="15" hidden="false" customHeight="false" outlineLevel="0" collapsed="false">
      <c r="A13" s="1"/>
      <c r="B13" s="3"/>
    </row>
    <row r="14" customFormat="false" ht="15" hidden="false" customHeight="false" outlineLevel="0" collapsed="false">
      <c r="A14" s="1"/>
      <c r="B14" s="4" t="s">
        <v>9</v>
      </c>
    </row>
    <row r="15" customFormat="false" ht="15" hidden="false" customHeight="false" outlineLevel="0" collapsed="false">
      <c r="A15" s="1"/>
      <c r="B15" s="5" t="s">
        <v>10</v>
      </c>
    </row>
    <row r="16" customFormat="false" ht="15" hidden="false" customHeight="false" outlineLevel="0" collapsed="false">
      <c r="A16" s="1"/>
      <c r="B16" s="5" t="s">
        <v>11</v>
      </c>
    </row>
    <row r="17" customFormat="false" ht="15" hidden="false" customHeight="false" outlineLevel="0" collapsed="false">
      <c r="A17" s="1"/>
      <c r="B17" s="3"/>
    </row>
    <row r="18" customFormat="false" ht="15" hidden="false" customHeight="false" outlineLevel="0" collapsed="false">
      <c r="A18" s="1"/>
      <c r="B18" s="4" t="s">
        <v>12</v>
      </c>
    </row>
    <row r="19" customFormat="false" ht="15" hidden="false" customHeight="false" outlineLevel="0" collapsed="false">
      <c r="A19" s="1"/>
      <c r="B19" s="5" t="s">
        <v>13</v>
      </c>
    </row>
    <row r="20" customFormat="false" ht="15" hidden="false" customHeight="false" outlineLevel="0" collapsed="false">
      <c r="A20" s="1"/>
      <c r="B20" s="3"/>
    </row>
    <row r="21" customFormat="false" ht="15" hidden="false" customHeight="false" outlineLevel="0" collapsed="false">
      <c r="A21" s="1"/>
      <c r="B21" s="4" t="s">
        <v>14</v>
      </c>
    </row>
    <row r="22" customFormat="false" ht="15" hidden="false" customHeight="false" outlineLevel="0" collapsed="false">
      <c r="A22" s="1"/>
      <c r="B22" s="5" t="s">
        <v>15</v>
      </c>
    </row>
    <row r="23" customFormat="false" ht="15" hidden="false" customHeight="false" outlineLevel="0" collapsed="false">
      <c r="A23" s="1"/>
      <c r="B23" s="5" t="s">
        <v>16</v>
      </c>
    </row>
    <row r="24" customFormat="false" ht="15" hidden="false" customHeight="false" outlineLevel="0" collapsed="false">
      <c r="A24" s="1"/>
      <c r="B24" s="5" t="s">
        <v>17</v>
      </c>
    </row>
    <row r="25" customFormat="false" ht="14.15" hidden="false" customHeight="false" outlineLevel="0" collapsed="false">
      <c r="A25" s="1"/>
      <c r="B25" s="5" t="s">
        <v>18</v>
      </c>
    </row>
    <row r="26" customFormat="false" ht="15" hidden="false" customHeight="false" outlineLevel="0" collapsed="false">
      <c r="A26" s="1"/>
      <c r="B26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2" t="s">
        <v>20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6" t="s">
        <v>21</v>
      </c>
      <c r="B3" s="7"/>
      <c r="C3" s="7"/>
      <c r="D3" s="7"/>
    </row>
    <row r="4" customFormat="false" ht="15" hidden="false" customHeight="false" outlineLevel="0" collapsed="false">
      <c r="A4" s="5" t="s">
        <v>22</v>
      </c>
      <c r="B4" s="8" t="n">
        <v>35</v>
      </c>
      <c r="C4" s="5" t="s">
        <v>23</v>
      </c>
      <c r="D4" s="9"/>
    </row>
    <row r="5" customFormat="false" ht="15" hidden="false" customHeight="false" outlineLevel="0" collapsed="false">
      <c r="A5" s="5" t="s">
        <v>24</v>
      </c>
      <c r="B5" s="10" t="n">
        <f aca="false">保有資産!B4</f>
        <v>0</v>
      </c>
      <c r="C5" s="5" t="s">
        <v>25</v>
      </c>
      <c r="D5" s="11" t="s">
        <v>26</v>
      </c>
    </row>
    <row r="6" customFormat="false" ht="15" hidden="false" customHeight="false" outlineLevel="0" collapsed="false">
      <c r="A6" s="5" t="s">
        <v>27</v>
      </c>
      <c r="B6" s="12"/>
      <c r="C6" s="5" t="s">
        <v>25</v>
      </c>
      <c r="D6" s="11" t="s">
        <v>28</v>
      </c>
    </row>
    <row r="7" customFormat="false" ht="15" hidden="false" customHeight="false" outlineLevel="0" collapsed="false">
      <c r="A7" s="5" t="s">
        <v>29</v>
      </c>
      <c r="B7" s="13" t="n">
        <f aca="false">IF(B6="",B5,B6)</f>
        <v>0</v>
      </c>
      <c r="C7" s="5" t="s">
        <v>25</v>
      </c>
      <c r="D7" s="9"/>
    </row>
    <row r="8" customFormat="false" ht="15" hidden="false" customHeight="false" outlineLevel="0" collapsed="false">
      <c r="A8" s="5" t="s">
        <v>30</v>
      </c>
      <c r="B8" s="12" t="n">
        <v>30000</v>
      </c>
      <c r="C8" s="5" t="s">
        <v>25</v>
      </c>
      <c r="D8" s="11" t="s">
        <v>31</v>
      </c>
    </row>
    <row r="9" customFormat="false" ht="15" hidden="false" customHeight="false" outlineLevel="0" collapsed="false">
      <c r="A9" s="5" t="s">
        <v>32</v>
      </c>
      <c r="B9" s="14" t="n">
        <v>0.05</v>
      </c>
      <c r="C9" s="3"/>
      <c r="D9" s="11" t="s">
        <v>33</v>
      </c>
    </row>
    <row r="10" customFormat="false" ht="15" hidden="false" customHeight="false" outlineLevel="0" collapsed="false">
      <c r="A10" s="5" t="s">
        <v>34</v>
      </c>
      <c r="B10" s="8" t="n">
        <v>20</v>
      </c>
      <c r="C10" s="5" t="s">
        <v>35</v>
      </c>
      <c r="D10" s="9" t="s">
        <v>36</v>
      </c>
    </row>
    <row r="11" customFormat="false" ht="15" hidden="false" customHeight="false" outlineLevel="0" collapsed="false">
      <c r="A11" s="5" t="s">
        <v>37</v>
      </c>
      <c r="B11" s="14" t="n">
        <v>0</v>
      </c>
      <c r="C11" s="3"/>
      <c r="D11" s="11" t="s">
        <v>38</v>
      </c>
    </row>
    <row r="12" customFormat="false" ht="15" hidden="false" customHeight="false" outlineLevel="0" collapsed="false">
      <c r="A12" s="5" t="s">
        <v>39</v>
      </c>
      <c r="B12" s="15" t="n">
        <v>0</v>
      </c>
      <c r="C12" s="3"/>
      <c r="D12" s="9" t="s">
        <v>40</v>
      </c>
    </row>
    <row r="13" customFormat="false" ht="15" hidden="false" customHeight="false" outlineLevel="0" collapsed="false">
      <c r="A13" s="5" t="s">
        <v>41</v>
      </c>
      <c r="B13" s="14" t="n">
        <v>0.02</v>
      </c>
      <c r="C13" s="3"/>
      <c r="D13" s="11" t="s">
        <v>42</v>
      </c>
    </row>
    <row r="14" customFormat="false" ht="15" hidden="false" customHeight="false" outlineLevel="0" collapsed="false">
      <c r="A14" s="5" t="s">
        <v>43</v>
      </c>
      <c r="B14" s="16" t="n">
        <f aca="false">(1+B9)^(1/12)-1</f>
        <v>0.00407412378364835</v>
      </c>
      <c r="C14" s="3"/>
      <c r="D14" s="11" t="s">
        <v>44</v>
      </c>
    </row>
    <row r="15" customFormat="false" ht="15" hidden="false" customHeight="false" outlineLevel="0" collapsed="false">
      <c r="A15" s="1"/>
      <c r="B15" s="1"/>
      <c r="C15" s="1"/>
      <c r="D15" s="1"/>
    </row>
    <row r="16" customFormat="false" ht="15" hidden="false" customHeight="false" outlineLevel="0" collapsed="false">
      <c r="A16" s="6" t="s">
        <v>45</v>
      </c>
      <c r="B16" s="7"/>
      <c r="C16" s="7"/>
      <c r="D16" s="7"/>
    </row>
    <row r="17" customFormat="false" ht="15" hidden="false" customHeight="false" outlineLevel="0" collapsed="false">
      <c r="A17" s="5" t="s">
        <v>46</v>
      </c>
      <c r="B17" s="17" t="n">
        <f aca="false">B4+B10</f>
        <v>55</v>
      </c>
      <c r="C17" s="5" t="s">
        <v>23</v>
      </c>
      <c r="D17" s="1"/>
    </row>
    <row r="18" customFormat="false" ht="15" hidden="false" customHeight="false" outlineLevel="0" collapsed="false">
      <c r="A18" s="5" t="s">
        <v>47</v>
      </c>
      <c r="B18" s="18" t="n">
        <f aca="false">INDEX(年次推移!E$5:E$55,$B$10+1)</f>
        <v>7200000</v>
      </c>
      <c r="C18" s="5" t="s">
        <v>25</v>
      </c>
      <c r="D18" s="1"/>
    </row>
    <row r="19" customFormat="false" ht="15" hidden="false" customHeight="false" outlineLevel="0" collapsed="false">
      <c r="A19" s="19" t="s">
        <v>48</v>
      </c>
      <c r="B19" s="20" t="n">
        <f aca="false">INDEX(年次推移!F$5:F$55,$B$10+1)</f>
        <v>12174134.5595342</v>
      </c>
      <c r="C19" s="5" t="s">
        <v>25</v>
      </c>
      <c r="D19" s="1"/>
    </row>
    <row r="20" customFormat="false" ht="15" hidden="false" customHeight="false" outlineLevel="0" collapsed="false">
      <c r="A20" s="5" t="s">
        <v>49</v>
      </c>
      <c r="B20" s="18" t="n">
        <f aca="false">INDEX(年次推移!G$5:G$55,$B$10+1)</f>
        <v>4974134.55953421</v>
      </c>
      <c r="C20" s="5" t="s">
        <v>25</v>
      </c>
      <c r="D20" s="1"/>
    </row>
    <row r="21" customFormat="false" ht="15" hidden="false" customHeight="false" outlineLevel="0" collapsed="false">
      <c r="A21" s="5" t="s">
        <v>50</v>
      </c>
      <c r="B21" s="18" t="n">
        <f aca="false">INDEX(年次推移!H$5:H$55,$B$10+1)</f>
        <v>12174134.5595342</v>
      </c>
      <c r="C21" s="5" t="s">
        <v>25</v>
      </c>
      <c r="D21" s="1"/>
    </row>
    <row r="22" customFormat="false" ht="15" hidden="false" customHeight="false" outlineLevel="0" collapsed="false">
      <c r="A22" s="5" t="s">
        <v>51</v>
      </c>
      <c r="B22" s="18" t="n">
        <f aca="false">INDEX(年次推移!I$5:I$55,$B$10+1)</f>
        <v>8192843.56396661</v>
      </c>
      <c r="C22" s="5" t="s">
        <v>25</v>
      </c>
      <c r="D22" s="1"/>
    </row>
    <row r="23" customFormat="false" ht="15" hidden="false" customHeight="false" outlineLevel="0" collapsed="false">
      <c r="A23" s="5" t="s">
        <v>52</v>
      </c>
      <c r="B23" s="21" t="n">
        <f aca="false">IF(B18=0,0,B19/B18)</f>
        <v>1.69085202215753</v>
      </c>
      <c r="C23" s="5" t="s">
        <v>53</v>
      </c>
      <c r="D23" s="1"/>
    </row>
  </sheetData>
  <dataValidations count="2">
    <dataValidation allowBlank="false" error="1〜50の整数を入力してください" errorStyle="stop" errorTitle="運用期間" operator="between" showDropDown="false" showErrorMessage="true" showInputMessage="false" sqref="B10" type="whole">
      <formula1>1</formula1>
      <formula2>50</formula2>
    </dataValidation>
    <dataValidation allowBlank="false" error="-50%〜50%の範囲で入力してください" errorStyle="stop" errorTitle="率" operator="between" showDropDown="false" showErrorMessage="true" showInputMessage="false" sqref="B9 B11:B13" type="decimal">
      <formula1>-0.5</formula1>
      <formula2>0.5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26"/>
  </cols>
  <sheetData>
    <row r="1" customFormat="false" ht="19.4" hidden="false" customHeight="false" outlineLevel="0" collapsed="false">
      <c r="A1" s="2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9" t="s">
        <v>55</v>
      </c>
      <c r="B2" s="22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9" t="s">
        <v>56</v>
      </c>
      <c r="E3" s="1"/>
      <c r="F3" s="1"/>
      <c r="G3" s="19" t="s">
        <v>57</v>
      </c>
      <c r="H3" s="1"/>
      <c r="I3" s="1"/>
      <c r="J3" s="1"/>
      <c r="K3" s="1"/>
    </row>
    <row r="4" customFormat="false" ht="15" hidden="false" customHeight="false" outlineLevel="0" collapsed="false">
      <c r="A4" s="19" t="s">
        <v>58</v>
      </c>
      <c r="B4" s="23" t="n">
        <f aca="false">SUM(H11:H210)</f>
        <v>0</v>
      </c>
      <c r="C4" s="1"/>
      <c r="D4" s="3" t="s">
        <v>59</v>
      </c>
      <c r="E4" s="24" t="n">
        <f aca="false">SUMIF(D11:D210,"*NISA*",H11:H210)</f>
        <v>0</v>
      </c>
      <c r="F4" s="1"/>
      <c r="G4" s="5" t="s">
        <v>60</v>
      </c>
      <c r="H4" s="24" t="n">
        <f aca="false">SUMIF(A11:A210,"国内株式*",H11:H210)</f>
        <v>0</v>
      </c>
      <c r="I4" s="1"/>
      <c r="J4" s="1"/>
      <c r="K4" s="1"/>
    </row>
    <row r="5" customFormat="false" ht="15" hidden="false" customHeight="false" outlineLevel="0" collapsed="false">
      <c r="A5" s="19" t="s">
        <v>61</v>
      </c>
      <c r="B5" s="23" t="n">
        <f aca="false">SUM(I11:I210)</f>
        <v>0</v>
      </c>
      <c r="C5" s="1"/>
      <c r="D5" s="5" t="s">
        <v>62</v>
      </c>
      <c r="E5" s="24" t="n">
        <f aca="false">SUMIF(D11:D210,"特定*",H11:H210)</f>
        <v>0</v>
      </c>
      <c r="F5" s="1"/>
      <c r="G5" s="5" t="s">
        <v>63</v>
      </c>
      <c r="H5" s="24" t="n">
        <f aca="false">SUMIF(A11:A210,"米国株式*",H11:H210)</f>
        <v>0</v>
      </c>
      <c r="I5" s="1"/>
      <c r="J5" s="1"/>
      <c r="K5" s="1"/>
    </row>
    <row r="6" customFormat="false" ht="15" hidden="false" customHeight="false" outlineLevel="0" collapsed="false">
      <c r="A6" s="19" t="s">
        <v>64</v>
      </c>
      <c r="B6" s="23" t="n">
        <f aca="false">B4-B5</f>
        <v>0</v>
      </c>
      <c r="C6" s="1"/>
      <c r="D6" s="5" t="s">
        <v>65</v>
      </c>
      <c r="E6" s="24" t="n">
        <f aca="false">SUMIF(D11:D210,"一般*",H11:H210)</f>
        <v>0</v>
      </c>
      <c r="F6" s="1"/>
      <c r="G6" s="5" t="s">
        <v>66</v>
      </c>
      <c r="H6" s="24" t="n">
        <f aca="false">SUMIF(A11:A210,"投資信託*",H11:H210)</f>
        <v>0</v>
      </c>
      <c r="I6" s="1"/>
      <c r="J6" s="1"/>
      <c r="K6" s="1"/>
    </row>
    <row r="7" customFormat="false" ht="15" hidden="false" customHeight="false" outlineLevel="0" collapsed="false">
      <c r="A7" s="19" t="s">
        <v>67</v>
      </c>
      <c r="B7" s="25" t="n">
        <f aca="false">IF(B6=0,0,B5/B6)</f>
        <v>0</v>
      </c>
      <c r="C7" s="1"/>
      <c r="D7" s="26" t="s">
        <v>68</v>
      </c>
      <c r="E7" s="27" t="n">
        <f aca="false">IF($B$4=0,0,E4/$B$4)</f>
        <v>0</v>
      </c>
      <c r="F7" s="1"/>
      <c r="G7" s="5" t="s">
        <v>69</v>
      </c>
      <c r="H7" s="24" t="n">
        <f aca="false">B4-SUM(H4:H6)</f>
        <v>0</v>
      </c>
      <c r="I7" s="1"/>
      <c r="J7" s="1"/>
      <c r="K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15" hidden="false" customHeight="false" outlineLevel="0" collapsed="false">
      <c r="A9" s="28" t="s">
        <v>66</v>
      </c>
      <c r="B9" s="28" t="s">
        <v>70</v>
      </c>
      <c r="C9" s="29" t="s">
        <v>71</v>
      </c>
      <c r="D9" s="29" t="s">
        <v>72</v>
      </c>
      <c r="E9" s="30" t="n">
        <v>120000</v>
      </c>
      <c r="F9" s="30" t="n">
        <v>21500</v>
      </c>
      <c r="G9" s="30" t="n">
        <v>26800</v>
      </c>
      <c r="H9" s="31" t="n">
        <v>321600</v>
      </c>
      <c r="I9" s="31" t="n">
        <v>63600</v>
      </c>
      <c r="J9" s="32" t="n">
        <f aca="false">IF(OR(H9="",H9-I9=0),"",I9/(H9-I9))</f>
        <v>0.246511627906977</v>
      </c>
      <c r="K9" s="33" t="s">
        <v>73</v>
      </c>
    </row>
    <row r="10" customFormat="false" ht="31.5" hidden="false" customHeight="true" outlineLevel="0" collapsed="false">
      <c r="A10" s="34" t="s">
        <v>74</v>
      </c>
      <c r="B10" s="34" t="s">
        <v>75</v>
      </c>
      <c r="C10" s="34" t="s">
        <v>76</v>
      </c>
      <c r="D10" s="34" t="s">
        <v>77</v>
      </c>
      <c r="E10" s="34" t="s">
        <v>78</v>
      </c>
      <c r="F10" s="34" t="s">
        <v>79</v>
      </c>
      <c r="G10" s="34" t="s">
        <v>80</v>
      </c>
      <c r="H10" s="34" t="s">
        <v>81</v>
      </c>
      <c r="I10" s="34" t="s">
        <v>82</v>
      </c>
      <c r="J10" s="34" t="s">
        <v>67</v>
      </c>
      <c r="K10" s="1"/>
    </row>
    <row r="11" customFormat="false" ht="15" hidden="false" customHeight="false" outlineLevel="0" collapsed="false">
      <c r="A11" s="35"/>
      <c r="B11" s="35"/>
      <c r="C11" s="35"/>
      <c r="D11" s="35"/>
      <c r="E11" s="36"/>
      <c r="F11" s="36"/>
      <c r="G11" s="36"/>
      <c r="H11" s="12"/>
      <c r="I11" s="12"/>
      <c r="J11" s="37" t="str">
        <f aca="false">IF(OR(H11="",H11-I11=0),"",I11/(H11-I11))</f>
        <v/>
      </c>
      <c r="K11" s="1"/>
    </row>
    <row r="12" customFormat="false" ht="15" hidden="false" customHeight="false" outlineLevel="0" collapsed="false">
      <c r="A12" s="35"/>
      <c r="B12" s="35"/>
      <c r="C12" s="35"/>
      <c r="D12" s="35"/>
      <c r="E12" s="36"/>
      <c r="F12" s="36"/>
      <c r="G12" s="36"/>
      <c r="H12" s="12"/>
      <c r="I12" s="12"/>
      <c r="J12" s="37" t="str">
        <f aca="false">IF(OR(H12="",H12-I12=0),"",I12/(H12-I12))</f>
        <v/>
      </c>
      <c r="K12" s="1"/>
    </row>
    <row r="13" customFormat="false" ht="15" hidden="false" customHeight="false" outlineLevel="0" collapsed="false">
      <c r="A13" s="35"/>
      <c r="B13" s="35"/>
      <c r="C13" s="35"/>
      <c r="D13" s="35"/>
      <c r="E13" s="36"/>
      <c r="F13" s="36"/>
      <c r="G13" s="36"/>
      <c r="H13" s="12"/>
      <c r="I13" s="12"/>
      <c r="J13" s="37" t="str">
        <f aca="false">IF(OR(H13="",H13-I13=0),"",I13/(H13-I13))</f>
        <v/>
      </c>
      <c r="K13" s="1"/>
    </row>
    <row r="14" customFormat="false" ht="15" hidden="false" customHeight="false" outlineLevel="0" collapsed="false">
      <c r="A14" s="35"/>
      <c r="B14" s="35"/>
      <c r="C14" s="35"/>
      <c r="D14" s="35"/>
      <c r="E14" s="36"/>
      <c r="F14" s="36"/>
      <c r="G14" s="36"/>
      <c r="H14" s="12"/>
      <c r="I14" s="12"/>
      <c r="J14" s="37" t="str">
        <f aca="false">IF(OR(H14="",H14-I14=0),"",I14/(H14-I14))</f>
        <v/>
      </c>
      <c r="K14" s="1"/>
    </row>
    <row r="15" customFormat="false" ht="15" hidden="false" customHeight="false" outlineLevel="0" collapsed="false">
      <c r="A15" s="35"/>
      <c r="B15" s="35"/>
      <c r="C15" s="35"/>
      <c r="D15" s="35"/>
      <c r="E15" s="36"/>
      <c r="F15" s="36"/>
      <c r="G15" s="36"/>
      <c r="H15" s="12"/>
      <c r="I15" s="12"/>
      <c r="J15" s="37" t="str">
        <f aca="false">IF(OR(H15="",H15-I15=0),"",I15/(H15-I15))</f>
        <v/>
      </c>
      <c r="K15" s="1"/>
    </row>
    <row r="16" customFormat="false" ht="15" hidden="false" customHeight="false" outlineLevel="0" collapsed="false">
      <c r="A16" s="35"/>
      <c r="B16" s="35"/>
      <c r="C16" s="35"/>
      <c r="D16" s="35"/>
      <c r="E16" s="36"/>
      <c r="F16" s="36"/>
      <c r="G16" s="36"/>
      <c r="H16" s="12"/>
      <c r="I16" s="12"/>
      <c r="J16" s="37" t="str">
        <f aca="false">IF(OR(H16="",H16-I16=0),"",I16/(H16-I16))</f>
        <v/>
      </c>
      <c r="K16" s="1"/>
    </row>
    <row r="17" customFormat="false" ht="15" hidden="false" customHeight="false" outlineLevel="0" collapsed="false">
      <c r="A17" s="35"/>
      <c r="B17" s="35"/>
      <c r="C17" s="35"/>
      <c r="D17" s="35"/>
      <c r="E17" s="36"/>
      <c r="F17" s="36"/>
      <c r="G17" s="36"/>
      <c r="H17" s="12"/>
      <c r="I17" s="12"/>
      <c r="J17" s="37" t="str">
        <f aca="false">IF(OR(H17="",H17-I17=0),"",I17/(H17-I17))</f>
        <v/>
      </c>
      <c r="K17" s="1"/>
    </row>
    <row r="18" customFormat="false" ht="15" hidden="false" customHeight="false" outlineLevel="0" collapsed="false">
      <c r="A18" s="35"/>
      <c r="B18" s="35"/>
      <c r="C18" s="35"/>
      <c r="D18" s="35"/>
      <c r="E18" s="36"/>
      <c r="F18" s="36"/>
      <c r="G18" s="36"/>
      <c r="H18" s="12"/>
      <c r="I18" s="12"/>
      <c r="J18" s="37" t="str">
        <f aca="false">IF(OR(H18="",H18-I18=0),"",I18/(H18-I18))</f>
        <v/>
      </c>
      <c r="K18" s="1"/>
    </row>
    <row r="19" customFormat="false" ht="15" hidden="false" customHeight="false" outlineLevel="0" collapsed="false">
      <c r="A19" s="35"/>
      <c r="B19" s="35"/>
      <c r="C19" s="35"/>
      <c r="D19" s="35"/>
      <c r="E19" s="36"/>
      <c r="F19" s="36"/>
      <c r="G19" s="36"/>
      <c r="H19" s="12"/>
      <c r="I19" s="12"/>
      <c r="J19" s="37" t="str">
        <f aca="false">IF(OR(H19="",H19-I19=0),"",I19/(H19-I19))</f>
        <v/>
      </c>
      <c r="K19" s="1"/>
    </row>
    <row r="20" customFormat="false" ht="15" hidden="false" customHeight="false" outlineLevel="0" collapsed="false">
      <c r="A20" s="35"/>
      <c r="B20" s="35"/>
      <c r="C20" s="35"/>
      <c r="D20" s="35"/>
      <c r="E20" s="36"/>
      <c r="F20" s="36"/>
      <c r="G20" s="36"/>
      <c r="H20" s="12"/>
      <c r="I20" s="12"/>
      <c r="J20" s="37" t="str">
        <f aca="false">IF(OR(H20="",H20-I20=0),"",I20/(H20-I20))</f>
        <v/>
      </c>
      <c r="K20" s="1"/>
    </row>
    <row r="21" customFormat="false" ht="15" hidden="false" customHeight="false" outlineLevel="0" collapsed="false">
      <c r="A21" s="35"/>
      <c r="B21" s="35"/>
      <c r="C21" s="35"/>
      <c r="D21" s="35"/>
      <c r="E21" s="36"/>
      <c r="F21" s="36"/>
      <c r="G21" s="36"/>
      <c r="H21" s="12"/>
      <c r="I21" s="12"/>
      <c r="J21" s="37" t="str">
        <f aca="false">IF(OR(H21="",H21-I21=0),"",I21/(H21-I21))</f>
        <v/>
      </c>
      <c r="K21" s="1"/>
    </row>
    <row r="22" customFormat="false" ht="15" hidden="false" customHeight="false" outlineLevel="0" collapsed="false">
      <c r="A22" s="35"/>
      <c r="B22" s="35"/>
      <c r="C22" s="35"/>
      <c r="D22" s="35"/>
      <c r="E22" s="36"/>
      <c r="F22" s="36"/>
      <c r="G22" s="36"/>
      <c r="H22" s="12"/>
      <c r="I22" s="12"/>
      <c r="J22" s="37" t="str">
        <f aca="false">IF(OR(H22="",H22-I22=0),"",I22/(H22-I22))</f>
        <v/>
      </c>
      <c r="K22" s="1"/>
    </row>
    <row r="23" customFormat="false" ht="15" hidden="false" customHeight="false" outlineLevel="0" collapsed="false">
      <c r="A23" s="35"/>
      <c r="B23" s="35"/>
      <c r="C23" s="35"/>
      <c r="D23" s="35"/>
      <c r="E23" s="36"/>
      <c r="F23" s="36"/>
      <c r="G23" s="36"/>
      <c r="H23" s="12"/>
      <c r="I23" s="12"/>
      <c r="J23" s="37" t="str">
        <f aca="false">IF(OR(H23="",H23-I23=0),"",I23/(H23-I23))</f>
        <v/>
      </c>
      <c r="K23" s="1"/>
    </row>
    <row r="24" customFormat="false" ht="15" hidden="false" customHeight="false" outlineLevel="0" collapsed="false">
      <c r="A24" s="35"/>
      <c r="B24" s="35"/>
      <c r="C24" s="35"/>
      <c r="D24" s="35"/>
      <c r="E24" s="36"/>
      <c r="F24" s="36"/>
      <c r="G24" s="36"/>
      <c r="H24" s="12"/>
      <c r="I24" s="12"/>
      <c r="J24" s="37" t="str">
        <f aca="false">IF(OR(H24="",H24-I24=0),"",I24/(H24-I24))</f>
        <v/>
      </c>
      <c r="K24" s="1"/>
    </row>
    <row r="25" customFormat="false" ht="15" hidden="false" customHeight="false" outlineLevel="0" collapsed="false">
      <c r="A25" s="35"/>
      <c r="B25" s="35"/>
      <c r="C25" s="35"/>
      <c r="D25" s="35"/>
      <c r="E25" s="36"/>
      <c r="F25" s="36"/>
      <c r="G25" s="36"/>
      <c r="H25" s="12"/>
      <c r="I25" s="12"/>
      <c r="J25" s="37" t="str">
        <f aca="false">IF(OR(H25="",H25-I25=0),"",I25/(H25-I25))</f>
        <v/>
      </c>
      <c r="K25" s="1"/>
    </row>
    <row r="26" customFormat="false" ht="15" hidden="false" customHeight="false" outlineLevel="0" collapsed="false">
      <c r="A26" s="35"/>
      <c r="B26" s="35"/>
      <c r="C26" s="35"/>
      <c r="D26" s="35"/>
      <c r="E26" s="36"/>
      <c r="F26" s="36"/>
      <c r="G26" s="36"/>
      <c r="H26" s="12"/>
      <c r="I26" s="12"/>
      <c r="J26" s="37" t="str">
        <f aca="false">IF(OR(H26="",H26-I26=0),"",I26/(H26-I26))</f>
        <v/>
      </c>
      <c r="K26" s="1"/>
    </row>
    <row r="27" customFormat="false" ht="15" hidden="false" customHeight="false" outlineLevel="0" collapsed="false">
      <c r="A27" s="35"/>
      <c r="B27" s="35"/>
      <c r="C27" s="35"/>
      <c r="D27" s="35"/>
      <c r="E27" s="36"/>
      <c r="F27" s="36"/>
      <c r="G27" s="36"/>
      <c r="H27" s="12"/>
      <c r="I27" s="12"/>
      <c r="J27" s="37" t="str">
        <f aca="false">IF(OR(H27="",H27-I27=0),"",I27/(H27-I27))</f>
        <v/>
      </c>
      <c r="K27" s="1"/>
    </row>
    <row r="28" customFormat="false" ht="15" hidden="false" customHeight="false" outlineLevel="0" collapsed="false">
      <c r="A28" s="35"/>
      <c r="B28" s="35"/>
      <c r="C28" s="35"/>
      <c r="D28" s="35"/>
      <c r="E28" s="36"/>
      <c r="F28" s="36"/>
      <c r="G28" s="36"/>
      <c r="H28" s="12"/>
      <c r="I28" s="12"/>
      <c r="J28" s="37" t="str">
        <f aca="false">IF(OR(H28="",H28-I28=0),"",I28/(H28-I28))</f>
        <v/>
      </c>
      <c r="K28" s="1"/>
    </row>
    <row r="29" customFormat="false" ht="15" hidden="false" customHeight="false" outlineLevel="0" collapsed="false">
      <c r="A29" s="35"/>
      <c r="B29" s="35"/>
      <c r="C29" s="35"/>
      <c r="D29" s="35"/>
      <c r="E29" s="36"/>
      <c r="F29" s="36"/>
      <c r="G29" s="36"/>
      <c r="H29" s="12"/>
      <c r="I29" s="12"/>
      <c r="J29" s="37" t="str">
        <f aca="false">IF(OR(H29="",H29-I29=0),"",I29/(H29-I29))</f>
        <v/>
      </c>
      <c r="K29" s="1"/>
    </row>
    <row r="30" customFormat="false" ht="15" hidden="false" customHeight="false" outlineLevel="0" collapsed="false">
      <c r="A30" s="35"/>
      <c r="B30" s="35"/>
      <c r="C30" s="35"/>
      <c r="D30" s="35"/>
      <c r="E30" s="36"/>
      <c r="F30" s="36"/>
      <c r="G30" s="36"/>
      <c r="H30" s="12"/>
      <c r="I30" s="12"/>
      <c r="J30" s="37" t="str">
        <f aca="false">IF(OR(H30="",H30-I30=0),"",I30/(H30-I30))</f>
        <v/>
      </c>
      <c r="K30" s="1"/>
    </row>
    <row r="31" customFormat="false" ht="15" hidden="false" customHeight="false" outlineLevel="0" collapsed="false">
      <c r="A31" s="35"/>
      <c r="B31" s="35"/>
      <c r="C31" s="35"/>
      <c r="D31" s="35"/>
      <c r="E31" s="36"/>
      <c r="F31" s="36"/>
      <c r="G31" s="36"/>
      <c r="H31" s="12"/>
      <c r="I31" s="12"/>
      <c r="J31" s="37" t="str">
        <f aca="false">IF(OR(H31="",H31-I31=0),"",I31/(H31-I31))</f>
        <v/>
      </c>
      <c r="K31" s="1"/>
    </row>
    <row r="32" customFormat="false" ht="15" hidden="false" customHeight="false" outlineLevel="0" collapsed="false">
      <c r="A32" s="35"/>
      <c r="B32" s="35"/>
      <c r="C32" s="35"/>
      <c r="D32" s="35"/>
      <c r="E32" s="36"/>
      <c r="F32" s="36"/>
      <c r="G32" s="36"/>
      <c r="H32" s="12"/>
      <c r="I32" s="12"/>
      <c r="J32" s="37" t="str">
        <f aca="false">IF(OR(H32="",H32-I32=0),"",I32/(H32-I32))</f>
        <v/>
      </c>
      <c r="K32" s="1"/>
    </row>
    <row r="33" customFormat="false" ht="15" hidden="false" customHeight="false" outlineLevel="0" collapsed="false">
      <c r="A33" s="35"/>
      <c r="B33" s="35"/>
      <c r="C33" s="35"/>
      <c r="D33" s="35"/>
      <c r="E33" s="36"/>
      <c r="F33" s="36"/>
      <c r="G33" s="36"/>
      <c r="H33" s="12"/>
      <c r="I33" s="12"/>
      <c r="J33" s="37" t="str">
        <f aca="false">IF(OR(H33="",H33-I33=0),"",I33/(H33-I33))</f>
        <v/>
      </c>
      <c r="K33" s="1"/>
    </row>
    <row r="34" customFormat="false" ht="15" hidden="false" customHeight="false" outlineLevel="0" collapsed="false">
      <c r="A34" s="35"/>
      <c r="B34" s="35"/>
      <c r="C34" s="35"/>
      <c r="D34" s="35"/>
      <c r="E34" s="36"/>
      <c r="F34" s="36"/>
      <c r="G34" s="36"/>
      <c r="H34" s="12"/>
      <c r="I34" s="12"/>
      <c r="J34" s="37" t="str">
        <f aca="false">IF(OR(H34="",H34-I34=0),"",I34/(H34-I34))</f>
        <v/>
      </c>
      <c r="K34" s="1"/>
    </row>
    <row r="35" customFormat="false" ht="15" hidden="false" customHeight="false" outlineLevel="0" collapsed="false">
      <c r="A35" s="35"/>
      <c r="B35" s="35"/>
      <c r="C35" s="35"/>
      <c r="D35" s="35"/>
      <c r="E35" s="36"/>
      <c r="F35" s="36"/>
      <c r="G35" s="36"/>
      <c r="H35" s="12"/>
      <c r="I35" s="12"/>
      <c r="J35" s="37" t="str">
        <f aca="false">IF(OR(H35="",H35-I35=0),"",I35/(H35-I35))</f>
        <v/>
      </c>
      <c r="K35" s="1"/>
    </row>
    <row r="36" customFormat="false" ht="15" hidden="false" customHeight="false" outlineLevel="0" collapsed="false">
      <c r="A36" s="35"/>
      <c r="B36" s="35"/>
      <c r="C36" s="35"/>
      <c r="D36" s="35"/>
      <c r="E36" s="36"/>
      <c r="F36" s="36"/>
      <c r="G36" s="36"/>
      <c r="H36" s="12"/>
      <c r="I36" s="12"/>
      <c r="J36" s="37" t="str">
        <f aca="false">IF(OR(H36="",H36-I36=0),"",I36/(H36-I36))</f>
        <v/>
      </c>
      <c r="K36" s="1"/>
    </row>
    <row r="37" customFormat="false" ht="15" hidden="false" customHeight="false" outlineLevel="0" collapsed="false">
      <c r="A37" s="35"/>
      <c r="B37" s="35"/>
      <c r="C37" s="35"/>
      <c r="D37" s="35"/>
      <c r="E37" s="36"/>
      <c r="F37" s="36"/>
      <c r="G37" s="36"/>
      <c r="H37" s="12"/>
      <c r="I37" s="12"/>
      <c r="J37" s="37" t="str">
        <f aca="false">IF(OR(H37="",H37-I37=0),"",I37/(H37-I37))</f>
        <v/>
      </c>
      <c r="K37" s="1"/>
    </row>
    <row r="38" customFormat="false" ht="15" hidden="false" customHeight="false" outlineLevel="0" collapsed="false">
      <c r="A38" s="35"/>
      <c r="B38" s="35"/>
      <c r="C38" s="35"/>
      <c r="D38" s="35"/>
      <c r="E38" s="36"/>
      <c r="F38" s="36"/>
      <c r="G38" s="36"/>
      <c r="H38" s="12"/>
      <c r="I38" s="12"/>
      <c r="J38" s="37" t="str">
        <f aca="false">IF(OR(H38="",H38-I38=0),"",I38/(H38-I38))</f>
        <v/>
      </c>
      <c r="K38" s="1"/>
    </row>
    <row r="39" customFormat="false" ht="15" hidden="false" customHeight="false" outlineLevel="0" collapsed="false">
      <c r="A39" s="35"/>
      <c r="B39" s="35"/>
      <c r="C39" s="35"/>
      <c r="D39" s="35"/>
      <c r="E39" s="36"/>
      <c r="F39" s="36"/>
      <c r="G39" s="36"/>
      <c r="H39" s="12"/>
      <c r="I39" s="12"/>
      <c r="J39" s="37" t="str">
        <f aca="false">IF(OR(H39="",H39-I39=0),"",I39/(H39-I39))</f>
        <v/>
      </c>
      <c r="K39" s="1"/>
    </row>
    <row r="40" customFormat="false" ht="15" hidden="false" customHeight="false" outlineLevel="0" collapsed="false">
      <c r="A40" s="35"/>
      <c r="B40" s="35"/>
      <c r="C40" s="35"/>
      <c r="D40" s="35"/>
      <c r="E40" s="36"/>
      <c r="F40" s="36"/>
      <c r="G40" s="36"/>
      <c r="H40" s="12"/>
      <c r="I40" s="12"/>
      <c r="J40" s="37" t="str">
        <f aca="false">IF(OR(H40="",H40-I40=0),"",I40/(H40-I40))</f>
        <v/>
      </c>
      <c r="K40" s="1"/>
    </row>
    <row r="41" customFormat="false" ht="15" hidden="false" customHeight="false" outlineLevel="0" collapsed="false">
      <c r="A41" s="35"/>
      <c r="B41" s="35"/>
      <c r="C41" s="35"/>
      <c r="D41" s="35"/>
      <c r="E41" s="36"/>
      <c r="F41" s="36"/>
      <c r="G41" s="36"/>
      <c r="H41" s="12"/>
      <c r="I41" s="12"/>
      <c r="J41" s="37" t="str">
        <f aca="false">IF(OR(H41="",H41-I41=0),"",I41/(H41-I41))</f>
        <v/>
      </c>
      <c r="K41" s="1"/>
    </row>
    <row r="42" customFormat="false" ht="15" hidden="false" customHeight="false" outlineLevel="0" collapsed="false">
      <c r="A42" s="35"/>
      <c r="B42" s="35"/>
      <c r="C42" s="35"/>
      <c r="D42" s="35"/>
      <c r="E42" s="36"/>
      <c r="F42" s="36"/>
      <c r="G42" s="36"/>
      <c r="H42" s="12"/>
      <c r="I42" s="12"/>
      <c r="J42" s="37" t="str">
        <f aca="false">IF(OR(H42="",H42-I42=0),"",I42/(H42-I42))</f>
        <v/>
      </c>
      <c r="K42" s="1"/>
    </row>
    <row r="43" customFormat="false" ht="15" hidden="false" customHeight="false" outlineLevel="0" collapsed="false">
      <c r="A43" s="35"/>
      <c r="B43" s="35"/>
      <c r="C43" s="35"/>
      <c r="D43" s="35"/>
      <c r="E43" s="36"/>
      <c r="F43" s="36"/>
      <c r="G43" s="36"/>
      <c r="H43" s="12"/>
      <c r="I43" s="12"/>
      <c r="J43" s="37" t="str">
        <f aca="false">IF(OR(H43="",H43-I43=0),"",I43/(H43-I43))</f>
        <v/>
      </c>
      <c r="K43" s="1"/>
    </row>
    <row r="44" customFormat="false" ht="15" hidden="false" customHeight="false" outlineLevel="0" collapsed="false">
      <c r="A44" s="35"/>
      <c r="B44" s="35"/>
      <c r="C44" s="35"/>
      <c r="D44" s="35"/>
      <c r="E44" s="36"/>
      <c r="F44" s="36"/>
      <c r="G44" s="36"/>
      <c r="H44" s="12"/>
      <c r="I44" s="12"/>
      <c r="J44" s="37" t="str">
        <f aca="false">IF(OR(H44="",H44-I44=0),"",I44/(H44-I44))</f>
        <v/>
      </c>
      <c r="K44" s="1"/>
    </row>
    <row r="45" customFormat="false" ht="15" hidden="false" customHeight="false" outlineLevel="0" collapsed="false">
      <c r="A45" s="35"/>
      <c r="B45" s="35"/>
      <c r="C45" s="35"/>
      <c r="D45" s="35"/>
      <c r="E45" s="36"/>
      <c r="F45" s="36"/>
      <c r="G45" s="36"/>
      <c r="H45" s="12"/>
      <c r="I45" s="12"/>
      <c r="J45" s="37" t="str">
        <f aca="false">IF(OR(H45="",H45-I45=0),"",I45/(H45-I45))</f>
        <v/>
      </c>
      <c r="K45" s="1"/>
    </row>
    <row r="46" customFormat="false" ht="15" hidden="false" customHeight="false" outlineLevel="0" collapsed="false">
      <c r="A46" s="35"/>
      <c r="B46" s="35"/>
      <c r="C46" s="35"/>
      <c r="D46" s="35"/>
      <c r="E46" s="36"/>
      <c r="F46" s="36"/>
      <c r="G46" s="36"/>
      <c r="H46" s="12"/>
      <c r="I46" s="12"/>
      <c r="J46" s="37" t="str">
        <f aca="false">IF(OR(H46="",H46-I46=0),"",I46/(H46-I46))</f>
        <v/>
      </c>
      <c r="K46" s="1"/>
    </row>
    <row r="47" customFormat="false" ht="15" hidden="false" customHeight="false" outlineLevel="0" collapsed="false">
      <c r="A47" s="35"/>
      <c r="B47" s="35"/>
      <c r="C47" s="35"/>
      <c r="D47" s="35"/>
      <c r="E47" s="36"/>
      <c r="F47" s="36"/>
      <c r="G47" s="36"/>
      <c r="H47" s="12"/>
      <c r="I47" s="12"/>
      <c r="J47" s="37" t="str">
        <f aca="false">IF(OR(H47="",H47-I47=0),"",I47/(H47-I47))</f>
        <v/>
      </c>
      <c r="K47" s="1"/>
    </row>
    <row r="48" customFormat="false" ht="15" hidden="false" customHeight="false" outlineLevel="0" collapsed="false">
      <c r="A48" s="35"/>
      <c r="B48" s="35"/>
      <c r="C48" s="35"/>
      <c r="D48" s="35"/>
      <c r="E48" s="36"/>
      <c r="F48" s="36"/>
      <c r="G48" s="36"/>
      <c r="H48" s="12"/>
      <c r="I48" s="12"/>
      <c r="J48" s="37" t="str">
        <f aca="false">IF(OR(H48="",H48-I48=0),"",I48/(H48-I48))</f>
        <v/>
      </c>
      <c r="K48" s="1"/>
    </row>
    <row r="49" customFormat="false" ht="15" hidden="false" customHeight="false" outlineLevel="0" collapsed="false">
      <c r="A49" s="35"/>
      <c r="B49" s="35"/>
      <c r="C49" s="35"/>
      <c r="D49" s="35"/>
      <c r="E49" s="36"/>
      <c r="F49" s="36"/>
      <c r="G49" s="36"/>
      <c r="H49" s="12"/>
      <c r="I49" s="12"/>
      <c r="J49" s="37" t="str">
        <f aca="false">IF(OR(H49="",H49-I49=0),"",I49/(H49-I49))</f>
        <v/>
      </c>
      <c r="K49" s="1"/>
    </row>
    <row r="50" customFormat="false" ht="15" hidden="false" customHeight="false" outlineLevel="0" collapsed="false">
      <c r="A50" s="35"/>
      <c r="B50" s="35"/>
      <c r="C50" s="35"/>
      <c r="D50" s="35"/>
      <c r="E50" s="36"/>
      <c r="F50" s="36"/>
      <c r="G50" s="36"/>
      <c r="H50" s="12"/>
      <c r="I50" s="12"/>
      <c r="J50" s="37" t="str">
        <f aca="false">IF(OR(H50="",H50-I50=0),"",I50/(H50-I50))</f>
        <v/>
      </c>
      <c r="K50" s="1"/>
    </row>
    <row r="51" customFormat="false" ht="15" hidden="false" customHeight="false" outlineLevel="0" collapsed="false">
      <c r="A51" s="35"/>
      <c r="B51" s="35"/>
      <c r="C51" s="35"/>
      <c r="D51" s="35"/>
      <c r="E51" s="36"/>
      <c r="F51" s="36"/>
      <c r="G51" s="36"/>
      <c r="H51" s="12"/>
      <c r="I51" s="12"/>
      <c r="J51" s="37" t="str">
        <f aca="false">IF(OR(H51="",H51-I51=0),"",I51/(H51-I51))</f>
        <v/>
      </c>
      <c r="K51" s="1"/>
    </row>
    <row r="52" customFormat="false" ht="15" hidden="false" customHeight="false" outlineLevel="0" collapsed="false">
      <c r="A52" s="35"/>
      <c r="B52" s="35"/>
      <c r="C52" s="35"/>
      <c r="D52" s="35"/>
      <c r="E52" s="36"/>
      <c r="F52" s="36"/>
      <c r="G52" s="36"/>
      <c r="H52" s="12"/>
      <c r="I52" s="12"/>
      <c r="J52" s="37" t="str">
        <f aca="false">IF(OR(H52="",H52-I52=0),"",I52/(H52-I52))</f>
        <v/>
      </c>
      <c r="K52" s="1"/>
    </row>
    <row r="53" customFormat="false" ht="15" hidden="false" customHeight="false" outlineLevel="0" collapsed="false">
      <c r="A53" s="35"/>
      <c r="B53" s="35"/>
      <c r="C53" s="35"/>
      <c r="D53" s="35"/>
      <c r="E53" s="36"/>
      <c r="F53" s="36"/>
      <c r="G53" s="36"/>
      <c r="H53" s="12"/>
      <c r="I53" s="12"/>
      <c r="J53" s="37" t="str">
        <f aca="false">IF(OR(H53="",H53-I53=0),"",I53/(H53-I53))</f>
        <v/>
      </c>
      <c r="K53" s="1"/>
    </row>
    <row r="54" customFormat="false" ht="15" hidden="false" customHeight="false" outlineLevel="0" collapsed="false">
      <c r="A54" s="35"/>
      <c r="B54" s="35"/>
      <c r="C54" s="35"/>
      <c r="D54" s="35"/>
      <c r="E54" s="36"/>
      <c r="F54" s="36"/>
      <c r="G54" s="36"/>
      <c r="H54" s="12"/>
      <c r="I54" s="12"/>
      <c r="J54" s="37" t="str">
        <f aca="false">IF(OR(H54="",H54-I54=0),"",I54/(H54-I54))</f>
        <v/>
      </c>
      <c r="K54" s="1"/>
    </row>
    <row r="55" customFormat="false" ht="15" hidden="false" customHeight="false" outlineLevel="0" collapsed="false">
      <c r="A55" s="35"/>
      <c r="B55" s="35"/>
      <c r="C55" s="35"/>
      <c r="D55" s="35"/>
      <c r="E55" s="36"/>
      <c r="F55" s="36"/>
      <c r="G55" s="36"/>
      <c r="H55" s="12"/>
      <c r="I55" s="12"/>
      <c r="J55" s="37" t="str">
        <f aca="false">IF(OR(H55="",H55-I55=0),"",I55/(H55-I55))</f>
        <v/>
      </c>
      <c r="K55" s="1"/>
    </row>
    <row r="56" customFormat="false" ht="15" hidden="false" customHeight="false" outlineLevel="0" collapsed="false">
      <c r="A56" s="35"/>
      <c r="B56" s="35"/>
      <c r="C56" s="35"/>
      <c r="D56" s="35"/>
      <c r="E56" s="36"/>
      <c r="F56" s="36"/>
      <c r="G56" s="36"/>
      <c r="H56" s="12"/>
      <c r="I56" s="12"/>
      <c r="J56" s="37" t="str">
        <f aca="false">IF(OR(H56="",H56-I56=0),"",I56/(H56-I56))</f>
        <v/>
      </c>
      <c r="K56" s="1"/>
    </row>
    <row r="57" customFormat="false" ht="15" hidden="false" customHeight="false" outlineLevel="0" collapsed="false">
      <c r="A57" s="35"/>
      <c r="B57" s="35"/>
      <c r="C57" s="35"/>
      <c r="D57" s="35"/>
      <c r="E57" s="36"/>
      <c r="F57" s="36"/>
      <c r="G57" s="36"/>
      <c r="H57" s="12"/>
      <c r="I57" s="12"/>
      <c r="J57" s="37" t="str">
        <f aca="false">IF(OR(H57="",H57-I57=0),"",I57/(H57-I57))</f>
        <v/>
      </c>
      <c r="K57" s="1"/>
    </row>
    <row r="58" customFormat="false" ht="15" hidden="false" customHeight="false" outlineLevel="0" collapsed="false">
      <c r="A58" s="35"/>
      <c r="B58" s="35"/>
      <c r="C58" s="35"/>
      <c r="D58" s="35"/>
      <c r="E58" s="36"/>
      <c r="F58" s="36"/>
      <c r="G58" s="36"/>
      <c r="H58" s="12"/>
      <c r="I58" s="12"/>
      <c r="J58" s="37" t="str">
        <f aca="false">IF(OR(H58="",H58-I58=0),"",I58/(H58-I58))</f>
        <v/>
      </c>
      <c r="K58" s="1"/>
    </row>
    <row r="59" customFormat="false" ht="15" hidden="false" customHeight="false" outlineLevel="0" collapsed="false">
      <c r="A59" s="35"/>
      <c r="B59" s="35"/>
      <c r="C59" s="35"/>
      <c r="D59" s="35"/>
      <c r="E59" s="36"/>
      <c r="F59" s="36"/>
      <c r="G59" s="36"/>
      <c r="H59" s="12"/>
      <c r="I59" s="12"/>
      <c r="J59" s="37" t="str">
        <f aca="false">IF(OR(H59="",H59-I59=0),"",I59/(H59-I59))</f>
        <v/>
      </c>
      <c r="K59" s="1"/>
    </row>
    <row r="60" customFormat="false" ht="15" hidden="false" customHeight="false" outlineLevel="0" collapsed="false">
      <c r="A60" s="35"/>
      <c r="B60" s="35"/>
      <c r="C60" s="35"/>
      <c r="D60" s="35"/>
      <c r="E60" s="36"/>
      <c r="F60" s="36"/>
      <c r="G60" s="36"/>
      <c r="H60" s="12"/>
      <c r="I60" s="12"/>
      <c r="J60" s="37" t="str">
        <f aca="false">IF(OR(H60="",H60-I60=0),"",I60/(H60-I60))</f>
        <v/>
      </c>
      <c r="K60" s="1"/>
    </row>
    <row r="61" customFormat="false" ht="15" hidden="false" customHeight="false" outlineLevel="0" collapsed="false">
      <c r="A61" s="35"/>
      <c r="B61" s="35"/>
      <c r="C61" s="35"/>
      <c r="D61" s="35"/>
      <c r="E61" s="36"/>
      <c r="F61" s="36"/>
      <c r="G61" s="36"/>
      <c r="H61" s="12"/>
      <c r="I61" s="12"/>
      <c r="J61" s="37" t="str">
        <f aca="false">IF(OR(H61="",H61-I61=0),"",I61/(H61-I61))</f>
        <v/>
      </c>
      <c r="K61" s="1"/>
    </row>
    <row r="62" customFormat="false" ht="15" hidden="false" customHeight="false" outlineLevel="0" collapsed="false">
      <c r="A62" s="35"/>
      <c r="B62" s="35"/>
      <c r="C62" s="35"/>
      <c r="D62" s="35"/>
      <c r="E62" s="36"/>
      <c r="F62" s="36"/>
      <c r="G62" s="36"/>
      <c r="H62" s="12"/>
      <c r="I62" s="12"/>
      <c r="J62" s="37" t="str">
        <f aca="false">IF(OR(H62="",H62-I62=0),"",I62/(H62-I62))</f>
        <v/>
      </c>
      <c r="K62" s="1"/>
    </row>
    <row r="63" customFormat="false" ht="15" hidden="false" customHeight="false" outlineLevel="0" collapsed="false">
      <c r="A63" s="35"/>
      <c r="B63" s="35"/>
      <c r="C63" s="35"/>
      <c r="D63" s="35"/>
      <c r="E63" s="36"/>
      <c r="F63" s="36"/>
      <c r="G63" s="36"/>
      <c r="H63" s="12"/>
      <c r="I63" s="12"/>
      <c r="J63" s="37" t="str">
        <f aca="false">IF(OR(H63="",H63-I63=0),"",I63/(H63-I63))</f>
        <v/>
      </c>
      <c r="K63" s="1"/>
    </row>
    <row r="64" customFormat="false" ht="15" hidden="false" customHeight="false" outlineLevel="0" collapsed="false">
      <c r="A64" s="35"/>
      <c r="B64" s="35"/>
      <c r="C64" s="35"/>
      <c r="D64" s="35"/>
      <c r="E64" s="36"/>
      <c r="F64" s="36"/>
      <c r="G64" s="36"/>
      <c r="H64" s="12"/>
      <c r="I64" s="12"/>
      <c r="J64" s="37" t="str">
        <f aca="false">IF(OR(H64="",H64-I64=0),"",I64/(H64-I64))</f>
        <v/>
      </c>
      <c r="K64" s="1"/>
    </row>
    <row r="65" customFormat="false" ht="15" hidden="false" customHeight="false" outlineLevel="0" collapsed="false">
      <c r="A65" s="35"/>
      <c r="B65" s="35"/>
      <c r="C65" s="35"/>
      <c r="D65" s="35"/>
      <c r="E65" s="36"/>
      <c r="F65" s="36"/>
      <c r="G65" s="36"/>
      <c r="H65" s="12"/>
      <c r="I65" s="12"/>
      <c r="J65" s="37" t="str">
        <f aca="false">IF(OR(H65="",H65-I65=0),"",I65/(H65-I65))</f>
        <v/>
      </c>
      <c r="K65" s="1"/>
    </row>
    <row r="66" customFormat="false" ht="15" hidden="false" customHeight="false" outlineLevel="0" collapsed="false">
      <c r="A66" s="35"/>
      <c r="B66" s="35"/>
      <c r="C66" s="35"/>
      <c r="D66" s="35"/>
      <c r="E66" s="36"/>
      <c r="F66" s="36"/>
      <c r="G66" s="36"/>
      <c r="H66" s="12"/>
      <c r="I66" s="12"/>
      <c r="J66" s="37" t="str">
        <f aca="false">IF(OR(H66="",H66-I66=0),"",I66/(H66-I66))</f>
        <v/>
      </c>
      <c r="K66" s="1"/>
    </row>
    <row r="67" customFormat="false" ht="15" hidden="false" customHeight="false" outlineLevel="0" collapsed="false">
      <c r="A67" s="35"/>
      <c r="B67" s="35"/>
      <c r="C67" s="35"/>
      <c r="D67" s="35"/>
      <c r="E67" s="36"/>
      <c r="F67" s="36"/>
      <c r="G67" s="36"/>
      <c r="H67" s="12"/>
      <c r="I67" s="12"/>
      <c r="J67" s="37" t="str">
        <f aca="false">IF(OR(H67="",H67-I67=0),"",I67/(H67-I67))</f>
        <v/>
      </c>
      <c r="K67" s="1"/>
    </row>
    <row r="68" customFormat="false" ht="15" hidden="false" customHeight="false" outlineLevel="0" collapsed="false">
      <c r="A68" s="35"/>
      <c r="B68" s="35"/>
      <c r="C68" s="35"/>
      <c r="D68" s="35"/>
      <c r="E68" s="36"/>
      <c r="F68" s="36"/>
      <c r="G68" s="36"/>
      <c r="H68" s="12"/>
      <c r="I68" s="12"/>
      <c r="J68" s="37" t="str">
        <f aca="false">IF(OR(H68="",H68-I68=0),"",I68/(H68-I68))</f>
        <v/>
      </c>
      <c r="K68" s="1"/>
    </row>
    <row r="69" customFormat="false" ht="15" hidden="false" customHeight="false" outlineLevel="0" collapsed="false">
      <c r="A69" s="35"/>
      <c r="B69" s="35"/>
      <c r="C69" s="35"/>
      <c r="D69" s="35"/>
      <c r="E69" s="36"/>
      <c r="F69" s="36"/>
      <c r="G69" s="36"/>
      <c r="H69" s="12"/>
      <c r="I69" s="12"/>
      <c r="J69" s="37" t="str">
        <f aca="false">IF(OR(H69="",H69-I69=0),"",I69/(H69-I69))</f>
        <v/>
      </c>
      <c r="K69" s="1"/>
    </row>
    <row r="70" customFormat="false" ht="15" hidden="false" customHeight="false" outlineLevel="0" collapsed="false">
      <c r="A70" s="35"/>
      <c r="B70" s="35"/>
      <c r="C70" s="35"/>
      <c r="D70" s="35"/>
      <c r="E70" s="36"/>
      <c r="F70" s="36"/>
      <c r="G70" s="36"/>
      <c r="H70" s="12"/>
      <c r="I70" s="12"/>
      <c r="J70" s="37" t="str">
        <f aca="false">IF(OR(H70="",H70-I70=0),"",I70/(H70-I70))</f>
        <v/>
      </c>
      <c r="K70" s="1"/>
    </row>
    <row r="71" customFormat="false" ht="15" hidden="false" customHeight="false" outlineLevel="0" collapsed="false">
      <c r="A71" s="35"/>
      <c r="B71" s="35"/>
      <c r="C71" s="35"/>
      <c r="D71" s="35"/>
      <c r="E71" s="36"/>
      <c r="F71" s="36"/>
      <c r="G71" s="36"/>
      <c r="H71" s="12"/>
      <c r="I71" s="12"/>
      <c r="J71" s="37" t="str">
        <f aca="false">IF(OR(H71="",H71-I71=0),"",I71/(H71-I71))</f>
        <v/>
      </c>
      <c r="K71" s="1"/>
    </row>
    <row r="72" customFormat="false" ht="15" hidden="false" customHeight="false" outlineLevel="0" collapsed="false">
      <c r="A72" s="35"/>
      <c r="B72" s="35"/>
      <c r="C72" s="35"/>
      <c r="D72" s="35"/>
      <c r="E72" s="36"/>
      <c r="F72" s="36"/>
      <c r="G72" s="36"/>
      <c r="H72" s="12"/>
      <c r="I72" s="12"/>
      <c r="J72" s="37" t="str">
        <f aca="false">IF(OR(H72="",H72-I72=0),"",I72/(H72-I72))</f>
        <v/>
      </c>
      <c r="K72" s="1"/>
    </row>
    <row r="73" customFormat="false" ht="15" hidden="false" customHeight="false" outlineLevel="0" collapsed="false">
      <c r="A73" s="35"/>
      <c r="B73" s="35"/>
      <c r="C73" s="35"/>
      <c r="D73" s="35"/>
      <c r="E73" s="36"/>
      <c r="F73" s="36"/>
      <c r="G73" s="36"/>
      <c r="H73" s="12"/>
      <c r="I73" s="12"/>
      <c r="J73" s="37" t="str">
        <f aca="false">IF(OR(H73="",H73-I73=0),"",I73/(H73-I73))</f>
        <v/>
      </c>
      <c r="K73" s="1"/>
    </row>
    <row r="74" customFormat="false" ht="15" hidden="false" customHeight="false" outlineLevel="0" collapsed="false">
      <c r="A74" s="35"/>
      <c r="B74" s="35"/>
      <c r="C74" s="35"/>
      <c r="D74" s="35"/>
      <c r="E74" s="36"/>
      <c r="F74" s="36"/>
      <c r="G74" s="36"/>
      <c r="H74" s="12"/>
      <c r="I74" s="12"/>
      <c r="J74" s="37" t="str">
        <f aca="false">IF(OR(H74="",H74-I74=0),"",I74/(H74-I74))</f>
        <v/>
      </c>
      <c r="K74" s="1"/>
    </row>
    <row r="75" customFormat="false" ht="15" hidden="false" customHeight="false" outlineLevel="0" collapsed="false">
      <c r="A75" s="35"/>
      <c r="B75" s="35"/>
      <c r="C75" s="35"/>
      <c r="D75" s="35"/>
      <c r="E75" s="36"/>
      <c r="F75" s="36"/>
      <c r="G75" s="36"/>
      <c r="H75" s="12"/>
      <c r="I75" s="12"/>
      <c r="J75" s="37" t="str">
        <f aca="false">IF(OR(H75="",H75-I75=0),"",I75/(H75-I75))</f>
        <v/>
      </c>
      <c r="K75" s="1"/>
    </row>
    <row r="76" customFormat="false" ht="15" hidden="false" customHeight="false" outlineLevel="0" collapsed="false">
      <c r="A76" s="35"/>
      <c r="B76" s="35"/>
      <c r="C76" s="35"/>
      <c r="D76" s="35"/>
      <c r="E76" s="36"/>
      <c r="F76" s="36"/>
      <c r="G76" s="36"/>
      <c r="H76" s="12"/>
      <c r="I76" s="12"/>
      <c r="J76" s="37" t="str">
        <f aca="false">IF(OR(H76="",H76-I76=0),"",I76/(H76-I76))</f>
        <v/>
      </c>
      <c r="K76" s="1"/>
    </row>
    <row r="77" customFormat="false" ht="15" hidden="false" customHeight="false" outlineLevel="0" collapsed="false">
      <c r="A77" s="35"/>
      <c r="B77" s="35"/>
      <c r="C77" s="35"/>
      <c r="D77" s="35"/>
      <c r="E77" s="36"/>
      <c r="F77" s="36"/>
      <c r="G77" s="36"/>
      <c r="H77" s="12"/>
      <c r="I77" s="12"/>
      <c r="J77" s="37" t="str">
        <f aca="false">IF(OR(H77="",H77-I77=0),"",I77/(H77-I77))</f>
        <v/>
      </c>
      <c r="K77" s="1"/>
    </row>
    <row r="78" customFormat="false" ht="15" hidden="false" customHeight="false" outlineLevel="0" collapsed="false">
      <c r="A78" s="35"/>
      <c r="B78" s="35"/>
      <c r="C78" s="35"/>
      <c r="D78" s="35"/>
      <c r="E78" s="36"/>
      <c r="F78" s="36"/>
      <c r="G78" s="36"/>
      <c r="H78" s="12"/>
      <c r="I78" s="12"/>
      <c r="J78" s="37" t="str">
        <f aca="false">IF(OR(H78="",H78-I78=0),"",I78/(H78-I78))</f>
        <v/>
      </c>
      <c r="K78" s="1"/>
    </row>
    <row r="79" customFormat="false" ht="15" hidden="false" customHeight="false" outlineLevel="0" collapsed="false">
      <c r="A79" s="35"/>
      <c r="B79" s="35"/>
      <c r="C79" s="35"/>
      <c r="D79" s="35"/>
      <c r="E79" s="36"/>
      <c r="F79" s="36"/>
      <c r="G79" s="36"/>
      <c r="H79" s="12"/>
      <c r="I79" s="12"/>
      <c r="J79" s="37" t="str">
        <f aca="false">IF(OR(H79="",H79-I79=0),"",I79/(H79-I79))</f>
        <v/>
      </c>
      <c r="K79" s="1"/>
    </row>
    <row r="80" customFormat="false" ht="15" hidden="false" customHeight="false" outlineLevel="0" collapsed="false">
      <c r="A80" s="35"/>
      <c r="B80" s="35"/>
      <c r="C80" s="35"/>
      <c r="D80" s="35"/>
      <c r="E80" s="36"/>
      <c r="F80" s="36"/>
      <c r="G80" s="36"/>
      <c r="H80" s="12"/>
      <c r="I80" s="12"/>
      <c r="J80" s="37" t="str">
        <f aca="false">IF(OR(H80="",H80-I80=0),"",I80/(H80-I80))</f>
        <v/>
      </c>
      <c r="K80" s="1"/>
    </row>
    <row r="81" customFormat="false" ht="15" hidden="false" customHeight="false" outlineLevel="0" collapsed="false">
      <c r="A81" s="35"/>
      <c r="B81" s="35"/>
      <c r="C81" s="35"/>
      <c r="D81" s="35"/>
      <c r="E81" s="36"/>
      <c r="F81" s="36"/>
      <c r="G81" s="36"/>
      <c r="H81" s="12"/>
      <c r="I81" s="12"/>
      <c r="J81" s="37" t="str">
        <f aca="false">IF(OR(H81="",H81-I81=0),"",I81/(H81-I81))</f>
        <v/>
      </c>
      <c r="K81" s="1"/>
    </row>
    <row r="82" customFormat="false" ht="15" hidden="false" customHeight="false" outlineLevel="0" collapsed="false">
      <c r="A82" s="35"/>
      <c r="B82" s="35"/>
      <c r="C82" s="35"/>
      <c r="D82" s="35"/>
      <c r="E82" s="36"/>
      <c r="F82" s="36"/>
      <c r="G82" s="36"/>
      <c r="H82" s="12"/>
      <c r="I82" s="12"/>
      <c r="J82" s="37" t="str">
        <f aca="false">IF(OR(H82="",H82-I82=0),"",I82/(H82-I82))</f>
        <v/>
      </c>
      <c r="K82" s="1"/>
    </row>
    <row r="83" customFormat="false" ht="15" hidden="false" customHeight="false" outlineLevel="0" collapsed="false">
      <c r="A83" s="35"/>
      <c r="B83" s="35"/>
      <c r="C83" s="35"/>
      <c r="D83" s="35"/>
      <c r="E83" s="36"/>
      <c r="F83" s="36"/>
      <c r="G83" s="36"/>
      <c r="H83" s="12"/>
      <c r="I83" s="12"/>
      <c r="J83" s="37" t="str">
        <f aca="false">IF(OR(H83="",H83-I83=0),"",I83/(H83-I83))</f>
        <v/>
      </c>
      <c r="K83" s="1"/>
    </row>
    <row r="84" customFormat="false" ht="15" hidden="false" customHeight="false" outlineLevel="0" collapsed="false">
      <c r="A84" s="35"/>
      <c r="B84" s="35"/>
      <c r="C84" s="35"/>
      <c r="D84" s="35"/>
      <c r="E84" s="36"/>
      <c r="F84" s="36"/>
      <c r="G84" s="36"/>
      <c r="H84" s="12"/>
      <c r="I84" s="12"/>
      <c r="J84" s="37" t="str">
        <f aca="false">IF(OR(H84="",H84-I84=0),"",I84/(H84-I84))</f>
        <v/>
      </c>
      <c r="K84" s="1"/>
    </row>
    <row r="85" customFormat="false" ht="15" hidden="false" customHeight="false" outlineLevel="0" collapsed="false">
      <c r="A85" s="35"/>
      <c r="B85" s="35"/>
      <c r="C85" s="35"/>
      <c r="D85" s="35"/>
      <c r="E85" s="36"/>
      <c r="F85" s="36"/>
      <c r="G85" s="36"/>
      <c r="H85" s="12"/>
      <c r="I85" s="12"/>
      <c r="J85" s="37" t="str">
        <f aca="false">IF(OR(H85="",H85-I85=0),"",I85/(H85-I85))</f>
        <v/>
      </c>
      <c r="K85" s="1"/>
    </row>
    <row r="86" customFormat="false" ht="15" hidden="false" customHeight="false" outlineLevel="0" collapsed="false">
      <c r="A86" s="35"/>
      <c r="B86" s="35"/>
      <c r="C86" s="35"/>
      <c r="D86" s="35"/>
      <c r="E86" s="36"/>
      <c r="F86" s="36"/>
      <c r="G86" s="36"/>
      <c r="H86" s="12"/>
      <c r="I86" s="12"/>
      <c r="J86" s="37" t="str">
        <f aca="false">IF(OR(H86="",H86-I86=0),"",I86/(H86-I86))</f>
        <v/>
      </c>
      <c r="K86" s="1"/>
    </row>
    <row r="87" customFormat="false" ht="15" hidden="false" customHeight="false" outlineLevel="0" collapsed="false">
      <c r="A87" s="35"/>
      <c r="B87" s="35"/>
      <c r="C87" s="35"/>
      <c r="D87" s="35"/>
      <c r="E87" s="36"/>
      <c r="F87" s="36"/>
      <c r="G87" s="36"/>
      <c r="H87" s="12"/>
      <c r="I87" s="12"/>
      <c r="J87" s="37" t="str">
        <f aca="false">IF(OR(H87="",H87-I87=0),"",I87/(H87-I87))</f>
        <v/>
      </c>
      <c r="K87" s="1"/>
    </row>
    <row r="88" customFormat="false" ht="15" hidden="false" customHeight="false" outlineLevel="0" collapsed="false">
      <c r="A88" s="35"/>
      <c r="B88" s="35"/>
      <c r="C88" s="35"/>
      <c r="D88" s="35"/>
      <c r="E88" s="36"/>
      <c r="F88" s="36"/>
      <c r="G88" s="36"/>
      <c r="H88" s="12"/>
      <c r="I88" s="12"/>
      <c r="J88" s="37" t="str">
        <f aca="false">IF(OR(H88="",H88-I88=0),"",I88/(H88-I88))</f>
        <v/>
      </c>
      <c r="K88" s="1"/>
    </row>
    <row r="89" customFormat="false" ht="15" hidden="false" customHeight="false" outlineLevel="0" collapsed="false">
      <c r="A89" s="35"/>
      <c r="B89" s="35"/>
      <c r="C89" s="35"/>
      <c r="D89" s="35"/>
      <c r="E89" s="36"/>
      <c r="F89" s="36"/>
      <c r="G89" s="36"/>
      <c r="H89" s="12"/>
      <c r="I89" s="12"/>
      <c r="J89" s="37" t="str">
        <f aca="false">IF(OR(H89="",H89-I89=0),"",I89/(H89-I89))</f>
        <v/>
      </c>
      <c r="K89" s="1"/>
    </row>
    <row r="90" customFormat="false" ht="15" hidden="false" customHeight="false" outlineLevel="0" collapsed="false">
      <c r="A90" s="35"/>
      <c r="B90" s="35"/>
      <c r="C90" s="35"/>
      <c r="D90" s="35"/>
      <c r="E90" s="36"/>
      <c r="F90" s="36"/>
      <c r="G90" s="36"/>
      <c r="H90" s="12"/>
      <c r="I90" s="12"/>
      <c r="J90" s="37" t="str">
        <f aca="false">IF(OR(H90="",H90-I90=0),"",I90/(H90-I90))</f>
        <v/>
      </c>
      <c r="K90" s="1"/>
    </row>
    <row r="91" customFormat="false" ht="15" hidden="false" customHeight="false" outlineLevel="0" collapsed="false">
      <c r="A91" s="35"/>
      <c r="B91" s="35"/>
      <c r="C91" s="35"/>
      <c r="D91" s="35"/>
      <c r="E91" s="36"/>
      <c r="F91" s="36"/>
      <c r="G91" s="36"/>
      <c r="H91" s="12"/>
      <c r="I91" s="12"/>
      <c r="J91" s="37" t="str">
        <f aca="false">IF(OR(H91="",H91-I91=0),"",I91/(H91-I91))</f>
        <v/>
      </c>
      <c r="K91" s="1"/>
    </row>
    <row r="92" customFormat="false" ht="15" hidden="false" customHeight="false" outlineLevel="0" collapsed="false">
      <c r="A92" s="35"/>
      <c r="B92" s="35"/>
      <c r="C92" s="35"/>
      <c r="D92" s="35"/>
      <c r="E92" s="36"/>
      <c r="F92" s="36"/>
      <c r="G92" s="36"/>
      <c r="H92" s="12"/>
      <c r="I92" s="12"/>
      <c r="J92" s="37" t="str">
        <f aca="false">IF(OR(H92="",H92-I92=0),"",I92/(H92-I92))</f>
        <v/>
      </c>
      <c r="K92" s="1"/>
    </row>
    <row r="93" customFormat="false" ht="15" hidden="false" customHeight="false" outlineLevel="0" collapsed="false">
      <c r="A93" s="35"/>
      <c r="B93" s="35"/>
      <c r="C93" s="35"/>
      <c r="D93" s="35"/>
      <c r="E93" s="36"/>
      <c r="F93" s="36"/>
      <c r="G93" s="36"/>
      <c r="H93" s="12"/>
      <c r="I93" s="12"/>
      <c r="J93" s="37" t="str">
        <f aca="false">IF(OR(H93="",H93-I93=0),"",I93/(H93-I93))</f>
        <v/>
      </c>
      <c r="K93" s="1"/>
    </row>
    <row r="94" customFormat="false" ht="15" hidden="false" customHeight="false" outlineLevel="0" collapsed="false">
      <c r="A94" s="35"/>
      <c r="B94" s="35"/>
      <c r="C94" s="35"/>
      <c r="D94" s="35"/>
      <c r="E94" s="36"/>
      <c r="F94" s="36"/>
      <c r="G94" s="36"/>
      <c r="H94" s="12"/>
      <c r="I94" s="12"/>
      <c r="J94" s="37" t="str">
        <f aca="false">IF(OR(H94="",H94-I94=0),"",I94/(H94-I94))</f>
        <v/>
      </c>
      <c r="K94" s="1"/>
    </row>
    <row r="95" customFormat="false" ht="15" hidden="false" customHeight="false" outlineLevel="0" collapsed="false">
      <c r="A95" s="35"/>
      <c r="B95" s="35"/>
      <c r="C95" s="35"/>
      <c r="D95" s="35"/>
      <c r="E95" s="36"/>
      <c r="F95" s="36"/>
      <c r="G95" s="36"/>
      <c r="H95" s="12"/>
      <c r="I95" s="12"/>
      <c r="J95" s="37" t="str">
        <f aca="false">IF(OR(H95="",H95-I95=0),"",I95/(H95-I95))</f>
        <v/>
      </c>
      <c r="K95" s="1"/>
    </row>
    <row r="96" customFormat="false" ht="15" hidden="false" customHeight="false" outlineLevel="0" collapsed="false">
      <c r="A96" s="35"/>
      <c r="B96" s="35"/>
      <c r="C96" s="35"/>
      <c r="D96" s="35"/>
      <c r="E96" s="36"/>
      <c r="F96" s="36"/>
      <c r="G96" s="36"/>
      <c r="H96" s="12"/>
      <c r="I96" s="12"/>
      <c r="J96" s="37" t="str">
        <f aca="false">IF(OR(H96="",H96-I96=0),"",I96/(H96-I96))</f>
        <v/>
      </c>
      <c r="K96" s="1"/>
    </row>
    <row r="97" customFormat="false" ht="15" hidden="false" customHeight="false" outlineLevel="0" collapsed="false">
      <c r="A97" s="35"/>
      <c r="B97" s="35"/>
      <c r="C97" s="35"/>
      <c r="D97" s="35"/>
      <c r="E97" s="36"/>
      <c r="F97" s="36"/>
      <c r="G97" s="36"/>
      <c r="H97" s="12"/>
      <c r="I97" s="12"/>
      <c r="J97" s="37" t="str">
        <f aca="false">IF(OR(H97="",H97-I97=0),"",I97/(H97-I97))</f>
        <v/>
      </c>
      <c r="K97" s="1"/>
    </row>
    <row r="98" customFormat="false" ht="15" hidden="false" customHeight="false" outlineLevel="0" collapsed="false">
      <c r="A98" s="35"/>
      <c r="B98" s="35"/>
      <c r="C98" s="35"/>
      <c r="D98" s="35"/>
      <c r="E98" s="36"/>
      <c r="F98" s="36"/>
      <c r="G98" s="36"/>
      <c r="H98" s="12"/>
      <c r="I98" s="12"/>
      <c r="J98" s="37" t="str">
        <f aca="false">IF(OR(H98="",H98-I98=0),"",I98/(H98-I98))</f>
        <v/>
      </c>
      <c r="K98" s="1"/>
    </row>
    <row r="99" customFormat="false" ht="15" hidden="false" customHeight="false" outlineLevel="0" collapsed="false">
      <c r="A99" s="35"/>
      <c r="B99" s="35"/>
      <c r="C99" s="35"/>
      <c r="D99" s="35"/>
      <c r="E99" s="36"/>
      <c r="F99" s="36"/>
      <c r="G99" s="36"/>
      <c r="H99" s="12"/>
      <c r="I99" s="12"/>
      <c r="J99" s="37" t="str">
        <f aca="false">IF(OR(H99="",H99-I99=0),"",I99/(H99-I99))</f>
        <v/>
      </c>
      <c r="K99" s="1"/>
    </row>
    <row r="100" customFormat="false" ht="15" hidden="false" customHeight="false" outlineLevel="0" collapsed="false">
      <c r="A100" s="35"/>
      <c r="B100" s="35"/>
      <c r="C100" s="35"/>
      <c r="D100" s="35"/>
      <c r="E100" s="36"/>
      <c r="F100" s="36"/>
      <c r="G100" s="36"/>
      <c r="H100" s="12"/>
      <c r="I100" s="12"/>
      <c r="J100" s="37" t="str">
        <f aca="false">IF(OR(H100="",H100-I100=0),"",I100/(H100-I100))</f>
        <v/>
      </c>
      <c r="K100" s="1"/>
    </row>
    <row r="101" customFormat="false" ht="15" hidden="false" customHeight="false" outlineLevel="0" collapsed="false">
      <c r="A101" s="35"/>
      <c r="B101" s="35"/>
      <c r="C101" s="35"/>
      <c r="D101" s="35"/>
      <c r="E101" s="36"/>
      <c r="F101" s="36"/>
      <c r="G101" s="36"/>
      <c r="H101" s="12"/>
      <c r="I101" s="12"/>
      <c r="J101" s="37" t="str">
        <f aca="false">IF(OR(H101="",H101-I101=0),"",I101/(H101-I101))</f>
        <v/>
      </c>
      <c r="K101" s="1"/>
    </row>
    <row r="102" customFormat="false" ht="15" hidden="false" customHeight="false" outlineLevel="0" collapsed="false">
      <c r="A102" s="35"/>
      <c r="B102" s="35"/>
      <c r="C102" s="35"/>
      <c r="D102" s="35"/>
      <c r="E102" s="36"/>
      <c r="F102" s="36"/>
      <c r="G102" s="36"/>
      <c r="H102" s="12"/>
      <c r="I102" s="12"/>
      <c r="J102" s="37" t="str">
        <f aca="false">IF(OR(H102="",H102-I102=0),"",I102/(H102-I102))</f>
        <v/>
      </c>
      <c r="K102" s="1"/>
    </row>
    <row r="103" customFormat="false" ht="15" hidden="false" customHeight="false" outlineLevel="0" collapsed="false">
      <c r="A103" s="35"/>
      <c r="B103" s="35"/>
      <c r="C103" s="35"/>
      <c r="D103" s="35"/>
      <c r="E103" s="36"/>
      <c r="F103" s="36"/>
      <c r="G103" s="36"/>
      <c r="H103" s="12"/>
      <c r="I103" s="12"/>
      <c r="J103" s="37" t="str">
        <f aca="false">IF(OR(H103="",H103-I103=0),"",I103/(H103-I103))</f>
        <v/>
      </c>
      <c r="K103" s="1"/>
    </row>
    <row r="104" customFormat="false" ht="15" hidden="false" customHeight="false" outlineLevel="0" collapsed="false">
      <c r="A104" s="35"/>
      <c r="B104" s="35"/>
      <c r="C104" s="35"/>
      <c r="D104" s="35"/>
      <c r="E104" s="36"/>
      <c r="F104" s="36"/>
      <c r="G104" s="36"/>
      <c r="H104" s="12"/>
      <c r="I104" s="12"/>
      <c r="J104" s="37" t="str">
        <f aca="false">IF(OR(H104="",H104-I104=0),"",I104/(H104-I104))</f>
        <v/>
      </c>
      <c r="K104" s="1"/>
    </row>
    <row r="105" customFormat="false" ht="15" hidden="false" customHeight="false" outlineLevel="0" collapsed="false">
      <c r="A105" s="35"/>
      <c r="B105" s="35"/>
      <c r="C105" s="35"/>
      <c r="D105" s="35"/>
      <c r="E105" s="36"/>
      <c r="F105" s="36"/>
      <c r="G105" s="36"/>
      <c r="H105" s="12"/>
      <c r="I105" s="12"/>
      <c r="J105" s="37" t="str">
        <f aca="false">IF(OR(H105="",H105-I105=0),"",I105/(H105-I105))</f>
        <v/>
      </c>
      <c r="K105" s="1"/>
    </row>
    <row r="106" customFormat="false" ht="15" hidden="false" customHeight="false" outlineLevel="0" collapsed="false">
      <c r="A106" s="35"/>
      <c r="B106" s="35"/>
      <c r="C106" s="35"/>
      <c r="D106" s="35"/>
      <c r="E106" s="36"/>
      <c r="F106" s="36"/>
      <c r="G106" s="36"/>
      <c r="H106" s="12"/>
      <c r="I106" s="12"/>
      <c r="J106" s="37" t="str">
        <f aca="false">IF(OR(H106="",H106-I106=0),"",I106/(H106-I106))</f>
        <v/>
      </c>
      <c r="K106" s="1"/>
    </row>
    <row r="107" customFormat="false" ht="15" hidden="false" customHeight="false" outlineLevel="0" collapsed="false">
      <c r="A107" s="35"/>
      <c r="B107" s="35"/>
      <c r="C107" s="35"/>
      <c r="D107" s="35"/>
      <c r="E107" s="36"/>
      <c r="F107" s="36"/>
      <c r="G107" s="36"/>
      <c r="H107" s="12"/>
      <c r="I107" s="12"/>
      <c r="J107" s="37" t="str">
        <f aca="false">IF(OR(H107="",H107-I107=0),"",I107/(H107-I107))</f>
        <v/>
      </c>
      <c r="K107" s="1"/>
    </row>
    <row r="108" customFormat="false" ht="15" hidden="false" customHeight="false" outlineLevel="0" collapsed="false">
      <c r="A108" s="35"/>
      <c r="B108" s="35"/>
      <c r="C108" s="35"/>
      <c r="D108" s="35"/>
      <c r="E108" s="36"/>
      <c r="F108" s="36"/>
      <c r="G108" s="36"/>
      <c r="H108" s="12"/>
      <c r="I108" s="12"/>
      <c r="J108" s="37" t="str">
        <f aca="false">IF(OR(H108="",H108-I108=0),"",I108/(H108-I108))</f>
        <v/>
      </c>
      <c r="K108" s="1"/>
    </row>
    <row r="109" customFormat="false" ht="15" hidden="false" customHeight="false" outlineLevel="0" collapsed="false">
      <c r="A109" s="35"/>
      <c r="B109" s="35"/>
      <c r="C109" s="35"/>
      <c r="D109" s="35"/>
      <c r="E109" s="36"/>
      <c r="F109" s="36"/>
      <c r="G109" s="36"/>
      <c r="H109" s="12"/>
      <c r="I109" s="12"/>
      <c r="J109" s="37" t="str">
        <f aca="false">IF(OR(H109="",H109-I109=0),"",I109/(H109-I109))</f>
        <v/>
      </c>
      <c r="K109" s="1"/>
    </row>
    <row r="110" customFormat="false" ht="15" hidden="false" customHeight="false" outlineLevel="0" collapsed="false">
      <c r="A110" s="35"/>
      <c r="B110" s="35"/>
      <c r="C110" s="35"/>
      <c r="D110" s="35"/>
      <c r="E110" s="36"/>
      <c r="F110" s="36"/>
      <c r="G110" s="36"/>
      <c r="H110" s="12"/>
      <c r="I110" s="12"/>
      <c r="J110" s="37" t="str">
        <f aca="false">IF(OR(H110="",H110-I110=0),"",I110/(H110-I110))</f>
        <v/>
      </c>
      <c r="K110" s="1"/>
    </row>
    <row r="111" customFormat="false" ht="15" hidden="false" customHeight="false" outlineLevel="0" collapsed="false">
      <c r="A111" s="35"/>
      <c r="B111" s="35"/>
      <c r="C111" s="35"/>
      <c r="D111" s="35"/>
      <c r="E111" s="36"/>
      <c r="F111" s="36"/>
      <c r="G111" s="36"/>
      <c r="H111" s="12"/>
      <c r="I111" s="12"/>
      <c r="J111" s="37" t="str">
        <f aca="false">IF(OR(H111="",H111-I111=0),"",I111/(H111-I111))</f>
        <v/>
      </c>
      <c r="K111" s="1"/>
    </row>
    <row r="112" customFormat="false" ht="15" hidden="false" customHeight="false" outlineLevel="0" collapsed="false">
      <c r="A112" s="35"/>
      <c r="B112" s="35"/>
      <c r="C112" s="35"/>
      <c r="D112" s="35"/>
      <c r="E112" s="36"/>
      <c r="F112" s="36"/>
      <c r="G112" s="36"/>
      <c r="H112" s="12"/>
      <c r="I112" s="12"/>
      <c r="J112" s="37" t="str">
        <f aca="false">IF(OR(H112="",H112-I112=0),"",I112/(H112-I112))</f>
        <v/>
      </c>
      <c r="K112" s="1"/>
    </row>
    <row r="113" customFormat="false" ht="15" hidden="false" customHeight="false" outlineLevel="0" collapsed="false">
      <c r="A113" s="35"/>
      <c r="B113" s="35"/>
      <c r="C113" s="35"/>
      <c r="D113" s="35"/>
      <c r="E113" s="36"/>
      <c r="F113" s="36"/>
      <c r="G113" s="36"/>
      <c r="H113" s="12"/>
      <c r="I113" s="12"/>
      <c r="J113" s="37" t="str">
        <f aca="false">IF(OR(H113="",H113-I113=0),"",I113/(H113-I113))</f>
        <v/>
      </c>
      <c r="K113" s="1"/>
    </row>
    <row r="114" customFormat="false" ht="15" hidden="false" customHeight="false" outlineLevel="0" collapsed="false">
      <c r="A114" s="35"/>
      <c r="B114" s="35"/>
      <c r="C114" s="35"/>
      <c r="D114" s="35"/>
      <c r="E114" s="36"/>
      <c r="F114" s="36"/>
      <c r="G114" s="36"/>
      <c r="H114" s="12"/>
      <c r="I114" s="12"/>
      <c r="J114" s="37" t="str">
        <f aca="false">IF(OR(H114="",H114-I114=0),"",I114/(H114-I114))</f>
        <v/>
      </c>
      <c r="K114" s="1"/>
    </row>
    <row r="115" customFormat="false" ht="15" hidden="false" customHeight="false" outlineLevel="0" collapsed="false">
      <c r="A115" s="35"/>
      <c r="B115" s="35"/>
      <c r="C115" s="35"/>
      <c r="D115" s="35"/>
      <c r="E115" s="36"/>
      <c r="F115" s="36"/>
      <c r="G115" s="36"/>
      <c r="H115" s="12"/>
      <c r="I115" s="12"/>
      <c r="J115" s="37" t="str">
        <f aca="false">IF(OR(H115="",H115-I115=0),"",I115/(H115-I115))</f>
        <v/>
      </c>
      <c r="K115" s="1"/>
    </row>
    <row r="116" customFormat="false" ht="15" hidden="false" customHeight="false" outlineLevel="0" collapsed="false">
      <c r="A116" s="35"/>
      <c r="B116" s="35"/>
      <c r="C116" s="35"/>
      <c r="D116" s="35"/>
      <c r="E116" s="36"/>
      <c r="F116" s="36"/>
      <c r="G116" s="36"/>
      <c r="H116" s="12"/>
      <c r="I116" s="12"/>
      <c r="J116" s="37" t="str">
        <f aca="false">IF(OR(H116="",H116-I116=0),"",I116/(H116-I116))</f>
        <v/>
      </c>
      <c r="K116" s="1"/>
    </row>
    <row r="117" customFormat="false" ht="15" hidden="false" customHeight="false" outlineLevel="0" collapsed="false">
      <c r="A117" s="35"/>
      <c r="B117" s="35"/>
      <c r="C117" s="35"/>
      <c r="D117" s="35"/>
      <c r="E117" s="36"/>
      <c r="F117" s="36"/>
      <c r="G117" s="36"/>
      <c r="H117" s="12"/>
      <c r="I117" s="12"/>
      <c r="J117" s="37" t="str">
        <f aca="false">IF(OR(H117="",H117-I117=0),"",I117/(H117-I117))</f>
        <v/>
      </c>
      <c r="K117" s="1"/>
    </row>
    <row r="118" customFormat="false" ht="15" hidden="false" customHeight="false" outlineLevel="0" collapsed="false">
      <c r="A118" s="35"/>
      <c r="B118" s="35"/>
      <c r="C118" s="35"/>
      <c r="D118" s="35"/>
      <c r="E118" s="36"/>
      <c r="F118" s="36"/>
      <c r="G118" s="36"/>
      <c r="H118" s="12"/>
      <c r="I118" s="12"/>
      <c r="J118" s="37" t="str">
        <f aca="false">IF(OR(H118="",H118-I118=0),"",I118/(H118-I118))</f>
        <v/>
      </c>
      <c r="K118" s="1"/>
    </row>
    <row r="119" customFormat="false" ht="15" hidden="false" customHeight="false" outlineLevel="0" collapsed="false">
      <c r="A119" s="35"/>
      <c r="B119" s="35"/>
      <c r="C119" s="35"/>
      <c r="D119" s="35"/>
      <c r="E119" s="36"/>
      <c r="F119" s="36"/>
      <c r="G119" s="36"/>
      <c r="H119" s="12"/>
      <c r="I119" s="12"/>
      <c r="J119" s="37" t="str">
        <f aca="false">IF(OR(H119="",H119-I119=0),"",I119/(H119-I119))</f>
        <v/>
      </c>
      <c r="K119" s="1"/>
    </row>
    <row r="120" customFormat="false" ht="15" hidden="false" customHeight="false" outlineLevel="0" collapsed="false">
      <c r="A120" s="35"/>
      <c r="B120" s="35"/>
      <c r="C120" s="35"/>
      <c r="D120" s="35"/>
      <c r="E120" s="36"/>
      <c r="F120" s="36"/>
      <c r="G120" s="36"/>
      <c r="H120" s="12"/>
      <c r="I120" s="12"/>
      <c r="J120" s="37" t="str">
        <f aca="false">IF(OR(H120="",H120-I120=0),"",I120/(H120-I120))</f>
        <v/>
      </c>
      <c r="K120" s="1"/>
    </row>
    <row r="121" customFormat="false" ht="15" hidden="false" customHeight="false" outlineLevel="0" collapsed="false">
      <c r="A121" s="35"/>
      <c r="B121" s="35"/>
      <c r="C121" s="35"/>
      <c r="D121" s="35"/>
      <c r="E121" s="36"/>
      <c r="F121" s="36"/>
      <c r="G121" s="36"/>
      <c r="H121" s="12"/>
      <c r="I121" s="12"/>
      <c r="J121" s="37" t="str">
        <f aca="false">IF(OR(H121="",H121-I121=0),"",I121/(H121-I121))</f>
        <v/>
      </c>
      <c r="K121" s="1"/>
    </row>
    <row r="122" customFormat="false" ht="15" hidden="false" customHeight="false" outlineLevel="0" collapsed="false">
      <c r="A122" s="35"/>
      <c r="B122" s="35"/>
      <c r="C122" s="35"/>
      <c r="D122" s="35"/>
      <c r="E122" s="36"/>
      <c r="F122" s="36"/>
      <c r="G122" s="36"/>
      <c r="H122" s="12"/>
      <c r="I122" s="12"/>
      <c r="J122" s="37" t="str">
        <f aca="false">IF(OR(H122="",H122-I122=0),"",I122/(H122-I122))</f>
        <v/>
      </c>
      <c r="K122" s="1"/>
    </row>
    <row r="123" customFormat="false" ht="15" hidden="false" customHeight="false" outlineLevel="0" collapsed="false">
      <c r="A123" s="35"/>
      <c r="B123" s="35"/>
      <c r="C123" s="35"/>
      <c r="D123" s="35"/>
      <c r="E123" s="36"/>
      <c r="F123" s="36"/>
      <c r="G123" s="36"/>
      <c r="H123" s="12"/>
      <c r="I123" s="12"/>
      <c r="J123" s="37" t="str">
        <f aca="false">IF(OR(H123="",H123-I123=0),"",I123/(H123-I123))</f>
        <v/>
      </c>
      <c r="K123" s="1"/>
    </row>
    <row r="124" customFormat="false" ht="15" hidden="false" customHeight="false" outlineLevel="0" collapsed="false">
      <c r="A124" s="35"/>
      <c r="B124" s="35"/>
      <c r="C124" s="35"/>
      <c r="D124" s="35"/>
      <c r="E124" s="36"/>
      <c r="F124" s="36"/>
      <c r="G124" s="36"/>
      <c r="H124" s="12"/>
      <c r="I124" s="12"/>
      <c r="J124" s="37" t="str">
        <f aca="false">IF(OR(H124="",H124-I124=0),"",I124/(H124-I124))</f>
        <v/>
      </c>
      <c r="K124" s="1"/>
    </row>
    <row r="125" customFormat="false" ht="15" hidden="false" customHeight="false" outlineLevel="0" collapsed="false">
      <c r="A125" s="35"/>
      <c r="B125" s="35"/>
      <c r="C125" s="35"/>
      <c r="D125" s="35"/>
      <c r="E125" s="36"/>
      <c r="F125" s="36"/>
      <c r="G125" s="36"/>
      <c r="H125" s="12"/>
      <c r="I125" s="12"/>
      <c r="J125" s="37" t="str">
        <f aca="false">IF(OR(H125="",H125-I125=0),"",I125/(H125-I125))</f>
        <v/>
      </c>
      <c r="K125" s="1"/>
    </row>
    <row r="126" customFormat="false" ht="15" hidden="false" customHeight="false" outlineLevel="0" collapsed="false">
      <c r="A126" s="35"/>
      <c r="B126" s="35"/>
      <c r="C126" s="35"/>
      <c r="D126" s="35"/>
      <c r="E126" s="36"/>
      <c r="F126" s="36"/>
      <c r="G126" s="36"/>
      <c r="H126" s="12"/>
      <c r="I126" s="12"/>
      <c r="J126" s="37" t="str">
        <f aca="false">IF(OR(H126="",H126-I126=0),"",I126/(H126-I126))</f>
        <v/>
      </c>
      <c r="K126" s="1"/>
    </row>
    <row r="127" customFormat="false" ht="15" hidden="false" customHeight="false" outlineLevel="0" collapsed="false">
      <c r="A127" s="35"/>
      <c r="B127" s="35"/>
      <c r="C127" s="35"/>
      <c r="D127" s="35"/>
      <c r="E127" s="36"/>
      <c r="F127" s="36"/>
      <c r="G127" s="36"/>
      <c r="H127" s="12"/>
      <c r="I127" s="12"/>
      <c r="J127" s="37" t="str">
        <f aca="false">IF(OR(H127="",H127-I127=0),"",I127/(H127-I127))</f>
        <v/>
      </c>
      <c r="K127" s="1"/>
    </row>
    <row r="128" customFormat="false" ht="15" hidden="false" customHeight="false" outlineLevel="0" collapsed="false">
      <c r="A128" s="35"/>
      <c r="B128" s="35"/>
      <c r="C128" s="35"/>
      <c r="D128" s="35"/>
      <c r="E128" s="36"/>
      <c r="F128" s="36"/>
      <c r="G128" s="36"/>
      <c r="H128" s="12"/>
      <c r="I128" s="12"/>
      <c r="J128" s="37" t="str">
        <f aca="false">IF(OR(H128="",H128-I128=0),"",I128/(H128-I128))</f>
        <v/>
      </c>
      <c r="K128" s="1"/>
    </row>
    <row r="129" customFormat="false" ht="15" hidden="false" customHeight="false" outlineLevel="0" collapsed="false">
      <c r="A129" s="35"/>
      <c r="B129" s="35"/>
      <c r="C129" s="35"/>
      <c r="D129" s="35"/>
      <c r="E129" s="36"/>
      <c r="F129" s="36"/>
      <c r="G129" s="36"/>
      <c r="H129" s="12"/>
      <c r="I129" s="12"/>
      <c r="J129" s="37" t="str">
        <f aca="false">IF(OR(H129="",H129-I129=0),"",I129/(H129-I129))</f>
        <v/>
      </c>
      <c r="K129" s="1"/>
    </row>
    <row r="130" customFormat="false" ht="15" hidden="false" customHeight="false" outlineLevel="0" collapsed="false">
      <c r="A130" s="35"/>
      <c r="B130" s="35"/>
      <c r="C130" s="35"/>
      <c r="D130" s="35"/>
      <c r="E130" s="36"/>
      <c r="F130" s="36"/>
      <c r="G130" s="36"/>
      <c r="H130" s="12"/>
      <c r="I130" s="12"/>
      <c r="J130" s="37" t="str">
        <f aca="false">IF(OR(H130="",H130-I130=0),"",I130/(H130-I130))</f>
        <v/>
      </c>
      <c r="K130" s="1"/>
    </row>
    <row r="131" customFormat="false" ht="15" hidden="false" customHeight="false" outlineLevel="0" collapsed="false">
      <c r="A131" s="35"/>
      <c r="B131" s="35"/>
      <c r="C131" s="35"/>
      <c r="D131" s="35"/>
      <c r="E131" s="36"/>
      <c r="F131" s="36"/>
      <c r="G131" s="36"/>
      <c r="H131" s="12"/>
      <c r="I131" s="12"/>
      <c r="J131" s="37" t="str">
        <f aca="false">IF(OR(H131="",H131-I131=0),"",I131/(H131-I131))</f>
        <v/>
      </c>
      <c r="K131" s="1"/>
    </row>
    <row r="132" customFormat="false" ht="15" hidden="false" customHeight="false" outlineLevel="0" collapsed="false">
      <c r="A132" s="35"/>
      <c r="B132" s="35"/>
      <c r="C132" s="35"/>
      <c r="D132" s="35"/>
      <c r="E132" s="36"/>
      <c r="F132" s="36"/>
      <c r="G132" s="36"/>
      <c r="H132" s="12"/>
      <c r="I132" s="12"/>
      <c r="J132" s="37" t="str">
        <f aca="false">IF(OR(H132="",H132-I132=0),"",I132/(H132-I132))</f>
        <v/>
      </c>
      <c r="K132" s="1"/>
    </row>
    <row r="133" customFormat="false" ht="15" hidden="false" customHeight="false" outlineLevel="0" collapsed="false">
      <c r="A133" s="35"/>
      <c r="B133" s="35"/>
      <c r="C133" s="35"/>
      <c r="D133" s="35"/>
      <c r="E133" s="36"/>
      <c r="F133" s="36"/>
      <c r="G133" s="36"/>
      <c r="H133" s="12"/>
      <c r="I133" s="12"/>
      <c r="J133" s="37" t="str">
        <f aca="false">IF(OR(H133="",H133-I133=0),"",I133/(H133-I133))</f>
        <v/>
      </c>
      <c r="K133" s="1"/>
    </row>
    <row r="134" customFormat="false" ht="15" hidden="false" customHeight="false" outlineLevel="0" collapsed="false">
      <c r="A134" s="35"/>
      <c r="B134" s="35"/>
      <c r="C134" s="35"/>
      <c r="D134" s="35"/>
      <c r="E134" s="36"/>
      <c r="F134" s="36"/>
      <c r="G134" s="36"/>
      <c r="H134" s="12"/>
      <c r="I134" s="12"/>
      <c r="J134" s="37" t="str">
        <f aca="false">IF(OR(H134="",H134-I134=0),"",I134/(H134-I134))</f>
        <v/>
      </c>
      <c r="K134" s="1"/>
    </row>
    <row r="135" customFormat="false" ht="15" hidden="false" customHeight="false" outlineLevel="0" collapsed="false">
      <c r="A135" s="35"/>
      <c r="B135" s="35"/>
      <c r="C135" s="35"/>
      <c r="D135" s="35"/>
      <c r="E135" s="36"/>
      <c r="F135" s="36"/>
      <c r="G135" s="36"/>
      <c r="H135" s="12"/>
      <c r="I135" s="12"/>
      <c r="J135" s="37" t="str">
        <f aca="false">IF(OR(H135="",H135-I135=0),"",I135/(H135-I135))</f>
        <v/>
      </c>
      <c r="K135" s="1"/>
    </row>
    <row r="136" customFormat="false" ht="15" hidden="false" customHeight="false" outlineLevel="0" collapsed="false">
      <c r="A136" s="35"/>
      <c r="B136" s="35"/>
      <c r="C136" s="35"/>
      <c r="D136" s="35"/>
      <c r="E136" s="36"/>
      <c r="F136" s="36"/>
      <c r="G136" s="36"/>
      <c r="H136" s="12"/>
      <c r="I136" s="12"/>
      <c r="J136" s="37" t="str">
        <f aca="false">IF(OR(H136="",H136-I136=0),"",I136/(H136-I136))</f>
        <v/>
      </c>
      <c r="K136" s="1"/>
    </row>
    <row r="137" customFormat="false" ht="15" hidden="false" customHeight="false" outlineLevel="0" collapsed="false">
      <c r="A137" s="35"/>
      <c r="B137" s="35"/>
      <c r="C137" s="35"/>
      <c r="D137" s="35"/>
      <c r="E137" s="36"/>
      <c r="F137" s="36"/>
      <c r="G137" s="36"/>
      <c r="H137" s="12"/>
      <c r="I137" s="12"/>
      <c r="J137" s="37" t="str">
        <f aca="false">IF(OR(H137="",H137-I137=0),"",I137/(H137-I137))</f>
        <v/>
      </c>
      <c r="K137" s="1"/>
    </row>
    <row r="138" customFormat="false" ht="15" hidden="false" customHeight="false" outlineLevel="0" collapsed="false">
      <c r="A138" s="35"/>
      <c r="B138" s="35"/>
      <c r="C138" s="35"/>
      <c r="D138" s="35"/>
      <c r="E138" s="36"/>
      <c r="F138" s="36"/>
      <c r="G138" s="36"/>
      <c r="H138" s="12"/>
      <c r="I138" s="12"/>
      <c r="J138" s="37" t="str">
        <f aca="false">IF(OR(H138="",H138-I138=0),"",I138/(H138-I138))</f>
        <v/>
      </c>
      <c r="K138" s="1"/>
    </row>
    <row r="139" customFormat="false" ht="15" hidden="false" customHeight="false" outlineLevel="0" collapsed="false">
      <c r="A139" s="35"/>
      <c r="B139" s="35"/>
      <c r="C139" s="35"/>
      <c r="D139" s="35"/>
      <c r="E139" s="36"/>
      <c r="F139" s="36"/>
      <c r="G139" s="36"/>
      <c r="H139" s="12"/>
      <c r="I139" s="12"/>
      <c r="J139" s="37" t="str">
        <f aca="false">IF(OR(H139="",H139-I139=0),"",I139/(H139-I139))</f>
        <v/>
      </c>
      <c r="K139" s="1"/>
    </row>
    <row r="140" customFormat="false" ht="15" hidden="false" customHeight="false" outlineLevel="0" collapsed="false">
      <c r="A140" s="35"/>
      <c r="B140" s="35"/>
      <c r="C140" s="35"/>
      <c r="D140" s="35"/>
      <c r="E140" s="36"/>
      <c r="F140" s="36"/>
      <c r="G140" s="36"/>
      <c r="H140" s="12"/>
      <c r="I140" s="12"/>
      <c r="J140" s="37" t="str">
        <f aca="false">IF(OR(H140="",H140-I140=0),"",I140/(H140-I140))</f>
        <v/>
      </c>
      <c r="K140" s="1"/>
    </row>
    <row r="141" customFormat="false" ht="15" hidden="false" customHeight="false" outlineLevel="0" collapsed="false">
      <c r="A141" s="35"/>
      <c r="B141" s="35"/>
      <c r="C141" s="35"/>
      <c r="D141" s="35"/>
      <c r="E141" s="36"/>
      <c r="F141" s="36"/>
      <c r="G141" s="36"/>
      <c r="H141" s="12"/>
      <c r="I141" s="12"/>
      <c r="J141" s="37" t="str">
        <f aca="false">IF(OR(H141="",H141-I141=0),"",I141/(H141-I141))</f>
        <v/>
      </c>
      <c r="K141" s="1"/>
    </row>
    <row r="142" customFormat="false" ht="15" hidden="false" customHeight="false" outlineLevel="0" collapsed="false">
      <c r="A142" s="35"/>
      <c r="B142" s="35"/>
      <c r="C142" s="35"/>
      <c r="D142" s="35"/>
      <c r="E142" s="36"/>
      <c r="F142" s="36"/>
      <c r="G142" s="36"/>
      <c r="H142" s="12"/>
      <c r="I142" s="12"/>
      <c r="J142" s="37" t="str">
        <f aca="false">IF(OR(H142="",H142-I142=0),"",I142/(H142-I142))</f>
        <v/>
      </c>
      <c r="K142" s="1"/>
    </row>
    <row r="143" customFormat="false" ht="15" hidden="false" customHeight="false" outlineLevel="0" collapsed="false">
      <c r="A143" s="35"/>
      <c r="B143" s="35"/>
      <c r="C143" s="35"/>
      <c r="D143" s="35"/>
      <c r="E143" s="36"/>
      <c r="F143" s="36"/>
      <c r="G143" s="36"/>
      <c r="H143" s="12"/>
      <c r="I143" s="12"/>
      <c r="J143" s="37" t="str">
        <f aca="false">IF(OR(H143="",H143-I143=0),"",I143/(H143-I143))</f>
        <v/>
      </c>
      <c r="K143" s="1"/>
    </row>
    <row r="144" customFormat="false" ht="15" hidden="false" customHeight="false" outlineLevel="0" collapsed="false">
      <c r="A144" s="35"/>
      <c r="B144" s="35"/>
      <c r="C144" s="35"/>
      <c r="D144" s="35"/>
      <c r="E144" s="36"/>
      <c r="F144" s="36"/>
      <c r="G144" s="36"/>
      <c r="H144" s="12"/>
      <c r="I144" s="12"/>
      <c r="J144" s="37" t="str">
        <f aca="false">IF(OR(H144="",H144-I144=0),"",I144/(H144-I144))</f>
        <v/>
      </c>
      <c r="K144" s="1"/>
    </row>
    <row r="145" customFormat="false" ht="15" hidden="false" customHeight="false" outlineLevel="0" collapsed="false">
      <c r="A145" s="35"/>
      <c r="B145" s="35"/>
      <c r="C145" s="35"/>
      <c r="D145" s="35"/>
      <c r="E145" s="36"/>
      <c r="F145" s="36"/>
      <c r="G145" s="36"/>
      <c r="H145" s="12"/>
      <c r="I145" s="12"/>
      <c r="J145" s="37" t="str">
        <f aca="false">IF(OR(H145="",H145-I145=0),"",I145/(H145-I145))</f>
        <v/>
      </c>
      <c r="K145" s="1"/>
    </row>
    <row r="146" customFormat="false" ht="15" hidden="false" customHeight="false" outlineLevel="0" collapsed="false">
      <c r="A146" s="35"/>
      <c r="B146" s="35"/>
      <c r="C146" s="35"/>
      <c r="D146" s="35"/>
      <c r="E146" s="36"/>
      <c r="F146" s="36"/>
      <c r="G146" s="36"/>
      <c r="H146" s="12"/>
      <c r="I146" s="12"/>
      <c r="J146" s="37" t="str">
        <f aca="false">IF(OR(H146="",H146-I146=0),"",I146/(H146-I146))</f>
        <v/>
      </c>
      <c r="K146" s="1"/>
    </row>
    <row r="147" customFormat="false" ht="15" hidden="false" customHeight="false" outlineLevel="0" collapsed="false">
      <c r="A147" s="35"/>
      <c r="B147" s="35"/>
      <c r="C147" s="35"/>
      <c r="D147" s="35"/>
      <c r="E147" s="36"/>
      <c r="F147" s="36"/>
      <c r="G147" s="36"/>
      <c r="H147" s="12"/>
      <c r="I147" s="12"/>
      <c r="J147" s="37" t="str">
        <f aca="false">IF(OR(H147="",H147-I147=0),"",I147/(H147-I147))</f>
        <v/>
      </c>
      <c r="K147" s="1"/>
    </row>
    <row r="148" customFormat="false" ht="15" hidden="false" customHeight="false" outlineLevel="0" collapsed="false">
      <c r="A148" s="35"/>
      <c r="B148" s="35"/>
      <c r="C148" s="35"/>
      <c r="D148" s="35"/>
      <c r="E148" s="36"/>
      <c r="F148" s="36"/>
      <c r="G148" s="36"/>
      <c r="H148" s="12"/>
      <c r="I148" s="12"/>
      <c r="J148" s="37" t="str">
        <f aca="false">IF(OR(H148="",H148-I148=0),"",I148/(H148-I148))</f>
        <v/>
      </c>
      <c r="K148" s="1"/>
    </row>
    <row r="149" customFormat="false" ht="15" hidden="false" customHeight="false" outlineLevel="0" collapsed="false">
      <c r="A149" s="35"/>
      <c r="B149" s="35"/>
      <c r="C149" s="35"/>
      <c r="D149" s="35"/>
      <c r="E149" s="36"/>
      <c r="F149" s="36"/>
      <c r="G149" s="36"/>
      <c r="H149" s="12"/>
      <c r="I149" s="12"/>
      <c r="J149" s="37" t="str">
        <f aca="false">IF(OR(H149="",H149-I149=0),"",I149/(H149-I149))</f>
        <v/>
      </c>
      <c r="K149" s="1"/>
    </row>
    <row r="150" customFormat="false" ht="15" hidden="false" customHeight="false" outlineLevel="0" collapsed="false">
      <c r="A150" s="35"/>
      <c r="B150" s="35"/>
      <c r="C150" s="35"/>
      <c r="D150" s="35"/>
      <c r="E150" s="36"/>
      <c r="F150" s="36"/>
      <c r="G150" s="36"/>
      <c r="H150" s="12"/>
      <c r="I150" s="12"/>
      <c r="J150" s="37" t="str">
        <f aca="false">IF(OR(H150="",H150-I150=0),"",I150/(H150-I150))</f>
        <v/>
      </c>
      <c r="K150" s="1"/>
    </row>
    <row r="151" customFormat="false" ht="15" hidden="false" customHeight="false" outlineLevel="0" collapsed="false">
      <c r="A151" s="35"/>
      <c r="B151" s="35"/>
      <c r="C151" s="35"/>
      <c r="D151" s="35"/>
      <c r="E151" s="36"/>
      <c r="F151" s="36"/>
      <c r="G151" s="36"/>
      <c r="H151" s="12"/>
      <c r="I151" s="12"/>
      <c r="J151" s="37" t="str">
        <f aca="false">IF(OR(H151="",H151-I151=0),"",I151/(H151-I151))</f>
        <v/>
      </c>
      <c r="K151" s="1"/>
    </row>
    <row r="152" customFormat="false" ht="15" hidden="false" customHeight="false" outlineLevel="0" collapsed="false">
      <c r="A152" s="35"/>
      <c r="B152" s="35"/>
      <c r="C152" s="35"/>
      <c r="D152" s="35"/>
      <c r="E152" s="36"/>
      <c r="F152" s="36"/>
      <c r="G152" s="36"/>
      <c r="H152" s="12"/>
      <c r="I152" s="12"/>
      <c r="J152" s="37" t="str">
        <f aca="false">IF(OR(H152="",H152-I152=0),"",I152/(H152-I152))</f>
        <v/>
      </c>
      <c r="K152" s="1"/>
    </row>
    <row r="153" customFormat="false" ht="15" hidden="false" customHeight="false" outlineLevel="0" collapsed="false">
      <c r="A153" s="35"/>
      <c r="B153" s="35"/>
      <c r="C153" s="35"/>
      <c r="D153" s="35"/>
      <c r="E153" s="36"/>
      <c r="F153" s="36"/>
      <c r="G153" s="36"/>
      <c r="H153" s="12"/>
      <c r="I153" s="12"/>
      <c r="J153" s="37" t="str">
        <f aca="false">IF(OR(H153="",H153-I153=0),"",I153/(H153-I153))</f>
        <v/>
      </c>
      <c r="K153" s="1"/>
    </row>
    <row r="154" customFormat="false" ht="15" hidden="false" customHeight="false" outlineLevel="0" collapsed="false">
      <c r="A154" s="35"/>
      <c r="B154" s="35"/>
      <c r="C154" s="35"/>
      <c r="D154" s="35"/>
      <c r="E154" s="36"/>
      <c r="F154" s="36"/>
      <c r="G154" s="36"/>
      <c r="H154" s="12"/>
      <c r="I154" s="12"/>
      <c r="J154" s="37" t="str">
        <f aca="false">IF(OR(H154="",H154-I154=0),"",I154/(H154-I154))</f>
        <v/>
      </c>
      <c r="K154" s="1"/>
    </row>
    <row r="155" customFormat="false" ht="15" hidden="false" customHeight="false" outlineLevel="0" collapsed="false">
      <c r="A155" s="35"/>
      <c r="B155" s="35"/>
      <c r="C155" s="35"/>
      <c r="D155" s="35"/>
      <c r="E155" s="36"/>
      <c r="F155" s="36"/>
      <c r="G155" s="36"/>
      <c r="H155" s="12"/>
      <c r="I155" s="12"/>
      <c r="J155" s="37" t="str">
        <f aca="false">IF(OR(H155="",H155-I155=0),"",I155/(H155-I155))</f>
        <v/>
      </c>
      <c r="K155" s="1"/>
    </row>
    <row r="156" customFormat="false" ht="15" hidden="false" customHeight="false" outlineLevel="0" collapsed="false">
      <c r="A156" s="35"/>
      <c r="B156" s="35"/>
      <c r="C156" s="35"/>
      <c r="D156" s="35"/>
      <c r="E156" s="36"/>
      <c r="F156" s="36"/>
      <c r="G156" s="36"/>
      <c r="H156" s="12"/>
      <c r="I156" s="12"/>
      <c r="J156" s="37" t="str">
        <f aca="false">IF(OR(H156="",H156-I156=0),"",I156/(H156-I156))</f>
        <v/>
      </c>
      <c r="K156" s="1"/>
    </row>
    <row r="157" customFormat="false" ht="15" hidden="false" customHeight="false" outlineLevel="0" collapsed="false">
      <c r="A157" s="35"/>
      <c r="B157" s="35"/>
      <c r="C157" s="35"/>
      <c r="D157" s="35"/>
      <c r="E157" s="36"/>
      <c r="F157" s="36"/>
      <c r="G157" s="36"/>
      <c r="H157" s="12"/>
      <c r="I157" s="12"/>
      <c r="J157" s="37" t="str">
        <f aca="false">IF(OR(H157="",H157-I157=0),"",I157/(H157-I157))</f>
        <v/>
      </c>
      <c r="K157" s="1"/>
    </row>
    <row r="158" customFormat="false" ht="15" hidden="false" customHeight="false" outlineLevel="0" collapsed="false">
      <c r="A158" s="35"/>
      <c r="B158" s="35"/>
      <c r="C158" s="35"/>
      <c r="D158" s="35"/>
      <c r="E158" s="36"/>
      <c r="F158" s="36"/>
      <c r="G158" s="36"/>
      <c r="H158" s="12"/>
      <c r="I158" s="12"/>
      <c r="J158" s="37" t="str">
        <f aca="false">IF(OR(H158="",H158-I158=0),"",I158/(H158-I158))</f>
        <v/>
      </c>
      <c r="K158" s="1"/>
    </row>
    <row r="159" customFormat="false" ht="15" hidden="false" customHeight="false" outlineLevel="0" collapsed="false">
      <c r="A159" s="35"/>
      <c r="B159" s="35"/>
      <c r="C159" s="35"/>
      <c r="D159" s="35"/>
      <c r="E159" s="36"/>
      <c r="F159" s="36"/>
      <c r="G159" s="36"/>
      <c r="H159" s="12"/>
      <c r="I159" s="12"/>
      <c r="J159" s="37" t="str">
        <f aca="false">IF(OR(H159="",H159-I159=0),"",I159/(H159-I159))</f>
        <v/>
      </c>
      <c r="K159" s="1"/>
    </row>
    <row r="160" customFormat="false" ht="15" hidden="false" customHeight="false" outlineLevel="0" collapsed="false">
      <c r="A160" s="35"/>
      <c r="B160" s="35"/>
      <c r="C160" s="35"/>
      <c r="D160" s="35"/>
      <c r="E160" s="36"/>
      <c r="F160" s="36"/>
      <c r="G160" s="36"/>
      <c r="H160" s="12"/>
      <c r="I160" s="12"/>
      <c r="J160" s="37" t="str">
        <f aca="false">IF(OR(H160="",H160-I160=0),"",I160/(H160-I160))</f>
        <v/>
      </c>
      <c r="K160" s="1"/>
    </row>
    <row r="161" customFormat="false" ht="15" hidden="false" customHeight="false" outlineLevel="0" collapsed="false">
      <c r="A161" s="35"/>
      <c r="B161" s="35"/>
      <c r="C161" s="35"/>
      <c r="D161" s="35"/>
      <c r="E161" s="36"/>
      <c r="F161" s="36"/>
      <c r="G161" s="36"/>
      <c r="H161" s="12"/>
      <c r="I161" s="12"/>
      <c r="J161" s="37" t="str">
        <f aca="false">IF(OR(H161="",H161-I161=0),"",I161/(H161-I161))</f>
        <v/>
      </c>
      <c r="K161" s="1"/>
    </row>
    <row r="162" customFormat="false" ht="15" hidden="false" customHeight="false" outlineLevel="0" collapsed="false">
      <c r="A162" s="35"/>
      <c r="B162" s="35"/>
      <c r="C162" s="35"/>
      <c r="D162" s="35"/>
      <c r="E162" s="36"/>
      <c r="F162" s="36"/>
      <c r="G162" s="36"/>
      <c r="H162" s="12"/>
      <c r="I162" s="12"/>
      <c r="J162" s="37" t="str">
        <f aca="false">IF(OR(H162="",H162-I162=0),"",I162/(H162-I162))</f>
        <v/>
      </c>
      <c r="K162" s="1"/>
    </row>
    <row r="163" customFormat="false" ht="15" hidden="false" customHeight="false" outlineLevel="0" collapsed="false">
      <c r="A163" s="35"/>
      <c r="B163" s="35"/>
      <c r="C163" s="35"/>
      <c r="D163" s="35"/>
      <c r="E163" s="36"/>
      <c r="F163" s="36"/>
      <c r="G163" s="36"/>
      <c r="H163" s="12"/>
      <c r="I163" s="12"/>
      <c r="J163" s="37" t="str">
        <f aca="false">IF(OR(H163="",H163-I163=0),"",I163/(H163-I163))</f>
        <v/>
      </c>
      <c r="K163" s="1"/>
    </row>
    <row r="164" customFormat="false" ht="15" hidden="false" customHeight="false" outlineLevel="0" collapsed="false">
      <c r="A164" s="35"/>
      <c r="B164" s="35"/>
      <c r="C164" s="35"/>
      <c r="D164" s="35"/>
      <c r="E164" s="36"/>
      <c r="F164" s="36"/>
      <c r="G164" s="36"/>
      <c r="H164" s="12"/>
      <c r="I164" s="12"/>
      <c r="J164" s="37" t="str">
        <f aca="false">IF(OR(H164="",H164-I164=0),"",I164/(H164-I164))</f>
        <v/>
      </c>
      <c r="K164" s="1"/>
    </row>
    <row r="165" customFormat="false" ht="15" hidden="false" customHeight="false" outlineLevel="0" collapsed="false">
      <c r="A165" s="35"/>
      <c r="B165" s="35"/>
      <c r="C165" s="35"/>
      <c r="D165" s="35"/>
      <c r="E165" s="36"/>
      <c r="F165" s="36"/>
      <c r="G165" s="36"/>
      <c r="H165" s="12"/>
      <c r="I165" s="12"/>
      <c r="J165" s="37" t="str">
        <f aca="false">IF(OR(H165="",H165-I165=0),"",I165/(H165-I165))</f>
        <v/>
      </c>
      <c r="K165" s="1"/>
    </row>
    <row r="166" customFormat="false" ht="15" hidden="false" customHeight="false" outlineLevel="0" collapsed="false">
      <c r="A166" s="35"/>
      <c r="B166" s="35"/>
      <c r="C166" s="35"/>
      <c r="D166" s="35"/>
      <c r="E166" s="36"/>
      <c r="F166" s="36"/>
      <c r="G166" s="36"/>
      <c r="H166" s="12"/>
      <c r="I166" s="12"/>
      <c r="J166" s="37" t="str">
        <f aca="false">IF(OR(H166="",H166-I166=0),"",I166/(H166-I166))</f>
        <v/>
      </c>
      <c r="K166" s="1"/>
    </row>
    <row r="167" customFormat="false" ht="15" hidden="false" customHeight="false" outlineLevel="0" collapsed="false">
      <c r="A167" s="35"/>
      <c r="B167" s="35"/>
      <c r="C167" s="35"/>
      <c r="D167" s="35"/>
      <c r="E167" s="36"/>
      <c r="F167" s="36"/>
      <c r="G167" s="36"/>
      <c r="H167" s="12"/>
      <c r="I167" s="12"/>
      <c r="J167" s="37" t="str">
        <f aca="false">IF(OR(H167="",H167-I167=0),"",I167/(H167-I167))</f>
        <v/>
      </c>
      <c r="K167" s="1"/>
    </row>
    <row r="168" customFormat="false" ht="15" hidden="false" customHeight="false" outlineLevel="0" collapsed="false">
      <c r="A168" s="35"/>
      <c r="B168" s="35"/>
      <c r="C168" s="35"/>
      <c r="D168" s="35"/>
      <c r="E168" s="36"/>
      <c r="F168" s="36"/>
      <c r="G168" s="36"/>
      <c r="H168" s="12"/>
      <c r="I168" s="12"/>
      <c r="J168" s="37" t="str">
        <f aca="false">IF(OR(H168="",H168-I168=0),"",I168/(H168-I168))</f>
        <v/>
      </c>
      <c r="K168" s="1"/>
    </row>
    <row r="169" customFormat="false" ht="15" hidden="false" customHeight="false" outlineLevel="0" collapsed="false">
      <c r="A169" s="35"/>
      <c r="B169" s="35"/>
      <c r="C169" s="35"/>
      <c r="D169" s="35"/>
      <c r="E169" s="36"/>
      <c r="F169" s="36"/>
      <c r="G169" s="36"/>
      <c r="H169" s="12"/>
      <c r="I169" s="12"/>
      <c r="J169" s="37" t="str">
        <f aca="false">IF(OR(H169="",H169-I169=0),"",I169/(H169-I169))</f>
        <v/>
      </c>
      <c r="K169" s="1"/>
    </row>
    <row r="170" customFormat="false" ht="15" hidden="false" customHeight="false" outlineLevel="0" collapsed="false">
      <c r="A170" s="35"/>
      <c r="B170" s="35"/>
      <c r="C170" s="35"/>
      <c r="D170" s="35"/>
      <c r="E170" s="36"/>
      <c r="F170" s="36"/>
      <c r="G170" s="36"/>
      <c r="H170" s="12"/>
      <c r="I170" s="12"/>
      <c r="J170" s="37" t="str">
        <f aca="false">IF(OR(H170="",H170-I170=0),"",I170/(H170-I170))</f>
        <v/>
      </c>
      <c r="K170" s="1"/>
    </row>
    <row r="171" customFormat="false" ht="15" hidden="false" customHeight="false" outlineLevel="0" collapsed="false">
      <c r="A171" s="35"/>
      <c r="B171" s="35"/>
      <c r="C171" s="35"/>
      <c r="D171" s="35"/>
      <c r="E171" s="36"/>
      <c r="F171" s="36"/>
      <c r="G171" s="36"/>
      <c r="H171" s="12"/>
      <c r="I171" s="12"/>
      <c r="J171" s="37" t="str">
        <f aca="false">IF(OR(H171="",H171-I171=0),"",I171/(H171-I171))</f>
        <v/>
      </c>
      <c r="K171" s="1"/>
    </row>
    <row r="172" customFormat="false" ht="15" hidden="false" customHeight="false" outlineLevel="0" collapsed="false">
      <c r="A172" s="35"/>
      <c r="B172" s="35"/>
      <c r="C172" s="35"/>
      <c r="D172" s="35"/>
      <c r="E172" s="36"/>
      <c r="F172" s="36"/>
      <c r="G172" s="36"/>
      <c r="H172" s="12"/>
      <c r="I172" s="12"/>
      <c r="J172" s="37" t="str">
        <f aca="false">IF(OR(H172="",H172-I172=0),"",I172/(H172-I172))</f>
        <v/>
      </c>
      <c r="K172" s="1"/>
    </row>
    <row r="173" customFormat="false" ht="15" hidden="false" customHeight="false" outlineLevel="0" collapsed="false">
      <c r="A173" s="35"/>
      <c r="B173" s="35"/>
      <c r="C173" s="35"/>
      <c r="D173" s="35"/>
      <c r="E173" s="36"/>
      <c r="F173" s="36"/>
      <c r="G173" s="36"/>
      <c r="H173" s="12"/>
      <c r="I173" s="12"/>
      <c r="J173" s="37" t="str">
        <f aca="false">IF(OR(H173="",H173-I173=0),"",I173/(H173-I173))</f>
        <v/>
      </c>
      <c r="K173" s="1"/>
    </row>
    <row r="174" customFormat="false" ht="15" hidden="false" customHeight="false" outlineLevel="0" collapsed="false">
      <c r="A174" s="35"/>
      <c r="B174" s="35"/>
      <c r="C174" s="35"/>
      <c r="D174" s="35"/>
      <c r="E174" s="36"/>
      <c r="F174" s="36"/>
      <c r="G174" s="36"/>
      <c r="H174" s="12"/>
      <c r="I174" s="12"/>
      <c r="J174" s="37" t="str">
        <f aca="false">IF(OR(H174="",H174-I174=0),"",I174/(H174-I174))</f>
        <v/>
      </c>
      <c r="K174" s="1"/>
    </row>
    <row r="175" customFormat="false" ht="15" hidden="false" customHeight="false" outlineLevel="0" collapsed="false">
      <c r="A175" s="35"/>
      <c r="B175" s="35"/>
      <c r="C175" s="35"/>
      <c r="D175" s="35"/>
      <c r="E175" s="36"/>
      <c r="F175" s="36"/>
      <c r="G175" s="36"/>
      <c r="H175" s="12"/>
      <c r="I175" s="12"/>
      <c r="J175" s="37" t="str">
        <f aca="false">IF(OR(H175="",H175-I175=0),"",I175/(H175-I175))</f>
        <v/>
      </c>
      <c r="K175" s="1"/>
    </row>
    <row r="176" customFormat="false" ht="15" hidden="false" customHeight="false" outlineLevel="0" collapsed="false">
      <c r="A176" s="35"/>
      <c r="B176" s="35"/>
      <c r="C176" s="35"/>
      <c r="D176" s="35"/>
      <c r="E176" s="36"/>
      <c r="F176" s="36"/>
      <c r="G176" s="36"/>
      <c r="H176" s="12"/>
      <c r="I176" s="12"/>
      <c r="J176" s="37" t="str">
        <f aca="false">IF(OR(H176="",H176-I176=0),"",I176/(H176-I176))</f>
        <v/>
      </c>
      <c r="K176" s="1"/>
    </row>
    <row r="177" customFormat="false" ht="15" hidden="false" customHeight="false" outlineLevel="0" collapsed="false">
      <c r="A177" s="35"/>
      <c r="B177" s="35"/>
      <c r="C177" s="35"/>
      <c r="D177" s="35"/>
      <c r="E177" s="36"/>
      <c r="F177" s="36"/>
      <c r="G177" s="36"/>
      <c r="H177" s="12"/>
      <c r="I177" s="12"/>
      <c r="J177" s="37" t="str">
        <f aca="false">IF(OR(H177="",H177-I177=0),"",I177/(H177-I177))</f>
        <v/>
      </c>
      <c r="K177" s="1"/>
    </row>
    <row r="178" customFormat="false" ht="15" hidden="false" customHeight="false" outlineLevel="0" collapsed="false">
      <c r="A178" s="35"/>
      <c r="B178" s="35"/>
      <c r="C178" s="35"/>
      <c r="D178" s="35"/>
      <c r="E178" s="36"/>
      <c r="F178" s="36"/>
      <c r="G178" s="36"/>
      <c r="H178" s="12"/>
      <c r="I178" s="12"/>
      <c r="J178" s="37" t="str">
        <f aca="false">IF(OR(H178="",H178-I178=0),"",I178/(H178-I178))</f>
        <v/>
      </c>
      <c r="K178" s="1"/>
    </row>
    <row r="179" customFormat="false" ht="15" hidden="false" customHeight="false" outlineLevel="0" collapsed="false">
      <c r="A179" s="35"/>
      <c r="B179" s="35"/>
      <c r="C179" s="35"/>
      <c r="D179" s="35"/>
      <c r="E179" s="36"/>
      <c r="F179" s="36"/>
      <c r="G179" s="36"/>
      <c r="H179" s="12"/>
      <c r="I179" s="12"/>
      <c r="J179" s="37" t="str">
        <f aca="false">IF(OR(H179="",H179-I179=0),"",I179/(H179-I179))</f>
        <v/>
      </c>
      <c r="K179" s="1"/>
    </row>
    <row r="180" customFormat="false" ht="15" hidden="false" customHeight="false" outlineLevel="0" collapsed="false">
      <c r="A180" s="35"/>
      <c r="B180" s="35"/>
      <c r="C180" s="35"/>
      <c r="D180" s="35"/>
      <c r="E180" s="36"/>
      <c r="F180" s="36"/>
      <c r="G180" s="36"/>
      <c r="H180" s="12"/>
      <c r="I180" s="12"/>
      <c r="J180" s="37" t="str">
        <f aca="false">IF(OR(H180="",H180-I180=0),"",I180/(H180-I180))</f>
        <v/>
      </c>
      <c r="K180" s="1"/>
    </row>
    <row r="181" customFormat="false" ht="15" hidden="false" customHeight="false" outlineLevel="0" collapsed="false">
      <c r="A181" s="35"/>
      <c r="B181" s="35"/>
      <c r="C181" s="35"/>
      <c r="D181" s="35"/>
      <c r="E181" s="36"/>
      <c r="F181" s="36"/>
      <c r="G181" s="36"/>
      <c r="H181" s="12"/>
      <c r="I181" s="12"/>
      <c r="J181" s="37" t="str">
        <f aca="false">IF(OR(H181="",H181-I181=0),"",I181/(H181-I181))</f>
        <v/>
      </c>
      <c r="K181" s="1"/>
    </row>
    <row r="182" customFormat="false" ht="15" hidden="false" customHeight="false" outlineLevel="0" collapsed="false">
      <c r="A182" s="35"/>
      <c r="B182" s="35"/>
      <c r="C182" s="35"/>
      <c r="D182" s="35"/>
      <c r="E182" s="36"/>
      <c r="F182" s="36"/>
      <c r="G182" s="36"/>
      <c r="H182" s="12"/>
      <c r="I182" s="12"/>
      <c r="J182" s="37" t="str">
        <f aca="false">IF(OR(H182="",H182-I182=0),"",I182/(H182-I182))</f>
        <v/>
      </c>
      <c r="K182" s="1"/>
    </row>
    <row r="183" customFormat="false" ht="15" hidden="false" customHeight="false" outlineLevel="0" collapsed="false">
      <c r="A183" s="35"/>
      <c r="B183" s="35"/>
      <c r="C183" s="35"/>
      <c r="D183" s="35"/>
      <c r="E183" s="36"/>
      <c r="F183" s="36"/>
      <c r="G183" s="36"/>
      <c r="H183" s="12"/>
      <c r="I183" s="12"/>
      <c r="J183" s="37" t="str">
        <f aca="false">IF(OR(H183="",H183-I183=0),"",I183/(H183-I183))</f>
        <v/>
      </c>
      <c r="K183" s="1"/>
    </row>
    <row r="184" customFormat="false" ht="15" hidden="false" customHeight="false" outlineLevel="0" collapsed="false">
      <c r="A184" s="35"/>
      <c r="B184" s="35"/>
      <c r="C184" s="35"/>
      <c r="D184" s="35"/>
      <c r="E184" s="36"/>
      <c r="F184" s="36"/>
      <c r="G184" s="36"/>
      <c r="H184" s="12"/>
      <c r="I184" s="12"/>
      <c r="J184" s="37" t="str">
        <f aca="false">IF(OR(H184="",H184-I184=0),"",I184/(H184-I184))</f>
        <v/>
      </c>
      <c r="K184" s="1"/>
    </row>
    <row r="185" customFormat="false" ht="15" hidden="false" customHeight="false" outlineLevel="0" collapsed="false">
      <c r="A185" s="35"/>
      <c r="B185" s="35"/>
      <c r="C185" s="35"/>
      <c r="D185" s="35"/>
      <c r="E185" s="36"/>
      <c r="F185" s="36"/>
      <c r="G185" s="36"/>
      <c r="H185" s="12"/>
      <c r="I185" s="12"/>
      <c r="J185" s="37" t="str">
        <f aca="false">IF(OR(H185="",H185-I185=0),"",I185/(H185-I185))</f>
        <v/>
      </c>
      <c r="K185" s="1"/>
    </row>
    <row r="186" customFormat="false" ht="15" hidden="false" customHeight="false" outlineLevel="0" collapsed="false">
      <c r="A186" s="35"/>
      <c r="B186" s="35"/>
      <c r="C186" s="35"/>
      <c r="D186" s="35"/>
      <c r="E186" s="36"/>
      <c r="F186" s="36"/>
      <c r="G186" s="36"/>
      <c r="H186" s="12"/>
      <c r="I186" s="12"/>
      <c r="J186" s="37" t="str">
        <f aca="false">IF(OR(H186="",H186-I186=0),"",I186/(H186-I186))</f>
        <v/>
      </c>
      <c r="K186" s="1"/>
    </row>
    <row r="187" customFormat="false" ht="15" hidden="false" customHeight="false" outlineLevel="0" collapsed="false">
      <c r="A187" s="35"/>
      <c r="B187" s="35"/>
      <c r="C187" s="35"/>
      <c r="D187" s="35"/>
      <c r="E187" s="36"/>
      <c r="F187" s="36"/>
      <c r="G187" s="36"/>
      <c r="H187" s="12"/>
      <c r="I187" s="12"/>
      <c r="J187" s="37" t="str">
        <f aca="false">IF(OR(H187="",H187-I187=0),"",I187/(H187-I187))</f>
        <v/>
      </c>
      <c r="K187" s="1"/>
    </row>
    <row r="188" customFormat="false" ht="15" hidden="false" customHeight="false" outlineLevel="0" collapsed="false">
      <c r="A188" s="35"/>
      <c r="B188" s="35"/>
      <c r="C188" s="35"/>
      <c r="D188" s="35"/>
      <c r="E188" s="36"/>
      <c r="F188" s="36"/>
      <c r="G188" s="36"/>
      <c r="H188" s="12"/>
      <c r="I188" s="12"/>
      <c r="J188" s="37" t="str">
        <f aca="false">IF(OR(H188="",H188-I188=0),"",I188/(H188-I188))</f>
        <v/>
      </c>
      <c r="K188" s="1"/>
    </row>
    <row r="189" customFormat="false" ht="15" hidden="false" customHeight="false" outlineLevel="0" collapsed="false">
      <c r="A189" s="35"/>
      <c r="B189" s="35"/>
      <c r="C189" s="35"/>
      <c r="D189" s="35"/>
      <c r="E189" s="36"/>
      <c r="F189" s="36"/>
      <c r="G189" s="36"/>
      <c r="H189" s="12"/>
      <c r="I189" s="12"/>
      <c r="J189" s="37" t="str">
        <f aca="false">IF(OR(H189="",H189-I189=0),"",I189/(H189-I189))</f>
        <v/>
      </c>
      <c r="K189" s="1"/>
    </row>
    <row r="190" customFormat="false" ht="15" hidden="false" customHeight="false" outlineLevel="0" collapsed="false">
      <c r="A190" s="35"/>
      <c r="B190" s="35"/>
      <c r="C190" s="35"/>
      <c r="D190" s="35"/>
      <c r="E190" s="36"/>
      <c r="F190" s="36"/>
      <c r="G190" s="36"/>
      <c r="H190" s="12"/>
      <c r="I190" s="12"/>
      <c r="J190" s="37" t="str">
        <f aca="false">IF(OR(H190="",H190-I190=0),"",I190/(H190-I190))</f>
        <v/>
      </c>
      <c r="K190" s="1"/>
    </row>
    <row r="191" customFormat="false" ht="15" hidden="false" customHeight="false" outlineLevel="0" collapsed="false">
      <c r="A191" s="35"/>
      <c r="B191" s="35"/>
      <c r="C191" s="35"/>
      <c r="D191" s="35"/>
      <c r="E191" s="36"/>
      <c r="F191" s="36"/>
      <c r="G191" s="36"/>
      <c r="H191" s="12"/>
      <c r="I191" s="12"/>
      <c r="J191" s="37" t="str">
        <f aca="false">IF(OR(H191="",H191-I191=0),"",I191/(H191-I191))</f>
        <v/>
      </c>
      <c r="K191" s="1"/>
    </row>
    <row r="192" customFormat="false" ht="15" hidden="false" customHeight="false" outlineLevel="0" collapsed="false">
      <c r="A192" s="35"/>
      <c r="B192" s="35"/>
      <c r="C192" s="35"/>
      <c r="D192" s="35"/>
      <c r="E192" s="36"/>
      <c r="F192" s="36"/>
      <c r="G192" s="36"/>
      <c r="H192" s="12"/>
      <c r="I192" s="12"/>
      <c r="J192" s="37" t="str">
        <f aca="false">IF(OR(H192="",H192-I192=0),"",I192/(H192-I192))</f>
        <v/>
      </c>
      <c r="K192" s="1"/>
    </row>
    <row r="193" customFormat="false" ht="15" hidden="false" customHeight="false" outlineLevel="0" collapsed="false">
      <c r="A193" s="35"/>
      <c r="B193" s="35"/>
      <c r="C193" s="35"/>
      <c r="D193" s="35"/>
      <c r="E193" s="36"/>
      <c r="F193" s="36"/>
      <c r="G193" s="36"/>
      <c r="H193" s="12"/>
      <c r="I193" s="12"/>
      <c r="J193" s="37" t="str">
        <f aca="false">IF(OR(H193="",H193-I193=0),"",I193/(H193-I193))</f>
        <v/>
      </c>
      <c r="K193" s="1"/>
    </row>
    <row r="194" customFormat="false" ht="15" hidden="false" customHeight="false" outlineLevel="0" collapsed="false">
      <c r="A194" s="35"/>
      <c r="B194" s="35"/>
      <c r="C194" s="35"/>
      <c r="D194" s="35"/>
      <c r="E194" s="36"/>
      <c r="F194" s="36"/>
      <c r="G194" s="36"/>
      <c r="H194" s="12"/>
      <c r="I194" s="12"/>
      <c r="J194" s="37" t="str">
        <f aca="false">IF(OR(H194="",H194-I194=0),"",I194/(H194-I194))</f>
        <v/>
      </c>
      <c r="K194" s="1"/>
    </row>
    <row r="195" customFormat="false" ht="15" hidden="false" customHeight="false" outlineLevel="0" collapsed="false">
      <c r="A195" s="35"/>
      <c r="B195" s="35"/>
      <c r="C195" s="35"/>
      <c r="D195" s="35"/>
      <c r="E195" s="36"/>
      <c r="F195" s="36"/>
      <c r="G195" s="36"/>
      <c r="H195" s="12"/>
      <c r="I195" s="12"/>
      <c r="J195" s="37" t="str">
        <f aca="false">IF(OR(H195="",H195-I195=0),"",I195/(H195-I195))</f>
        <v/>
      </c>
      <c r="K195" s="1"/>
    </row>
    <row r="196" customFormat="false" ht="15" hidden="false" customHeight="false" outlineLevel="0" collapsed="false">
      <c r="A196" s="35"/>
      <c r="B196" s="35"/>
      <c r="C196" s="35"/>
      <c r="D196" s="35"/>
      <c r="E196" s="36"/>
      <c r="F196" s="36"/>
      <c r="G196" s="36"/>
      <c r="H196" s="12"/>
      <c r="I196" s="12"/>
      <c r="J196" s="37" t="str">
        <f aca="false">IF(OR(H196="",H196-I196=0),"",I196/(H196-I196))</f>
        <v/>
      </c>
      <c r="K196" s="1"/>
    </row>
    <row r="197" customFormat="false" ht="15" hidden="false" customHeight="false" outlineLevel="0" collapsed="false">
      <c r="A197" s="35"/>
      <c r="B197" s="35"/>
      <c r="C197" s="35"/>
      <c r="D197" s="35"/>
      <c r="E197" s="36"/>
      <c r="F197" s="36"/>
      <c r="G197" s="36"/>
      <c r="H197" s="12"/>
      <c r="I197" s="12"/>
      <c r="J197" s="37" t="str">
        <f aca="false">IF(OR(H197="",H197-I197=0),"",I197/(H197-I197))</f>
        <v/>
      </c>
      <c r="K197" s="1"/>
    </row>
    <row r="198" customFormat="false" ht="15" hidden="false" customHeight="false" outlineLevel="0" collapsed="false">
      <c r="A198" s="35"/>
      <c r="B198" s="35"/>
      <c r="C198" s="35"/>
      <c r="D198" s="35"/>
      <c r="E198" s="36"/>
      <c r="F198" s="36"/>
      <c r="G198" s="36"/>
      <c r="H198" s="12"/>
      <c r="I198" s="12"/>
      <c r="J198" s="37" t="str">
        <f aca="false">IF(OR(H198="",H198-I198=0),"",I198/(H198-I198))</f>
        <v/>
      </c>
      <c r="K198" s="1"/>
    </row>
    <row r="199" customFormat="false" ht="15" hidden="false" customHeight="false" outlineLevel="0" collapsed="false">
      <c r="A199" s="35"/>
      <c r="B199" s="35"/>
      <c r="C199" s="35"/>
      <c r="D199" s="35"/>
      <c r="E199" s="36"/>
      <c r="F199" s="36"/>
      <c r="G199" s="36"/>
      <c r="H199" s="12"/>
      <c r="I199" s="12"/>
      <c r="J199" s="37" t="str">
        <f aca="false">IF(OR(H199="",H199-I199=0),"",I199/(H199-I199))</f>
        <v/>
      </c>
      <c r="K199" s="1"/>
    </row>
    <row r="200" customFormat="false" ht="15" hidden="false" customHeight="false" outlineLevel="0" collapsed="false">
      <c r="A200" s="35"/>
      <c r="B200" s="35"/>
      <c r="C200" s="35"/>
      <c r="D200" s="35"/>
      <c r="E200" s="36"/>
      <c r="F200" s="36"/>
      <c r="G200" s="36"/>
      <c r="H200" s="12"/>
      <c r="I200" s="12"/>
      <c r="J200" s="37" t="str">
        <f aca="false">IF(OR(H200="",H200-I200=0),"",I200/(H200-I200))</f>
        <v/>
      </c>
      <c r="K200" s="1"/>
    </row>
    <row r="201" customFormat="false" ht="15" hidden="false" customHeight="false" outlineLevel="0" collapsed="false">
      <c r="A201" s="35"/>
      <c r="B201" s="35"/>
      <c r="C201" s="35"/>
      <c r="D201" s="35"/>
      <c r="E201" s="36"/>
      <c r="F201" s="36"/>
      <c r="G201" s="36"/>
      <c r="H201" s="12"/>
      <c r="I201" s="12"/>
      <c r="J201" s="37" t="str">
        <f aca="false">IF(OR(H201="",H201-I201=0),"",I201/(H201-I201))</f>
        <v/>
      </c>
      <c r="K201" s="1"/>
    </row>
    <row r="202" customFormat="false" ht="15" hidden="false" customHeight="false" outlineLevel="0" collapsed="false">
      <c r="A202" s="35"/>
      <c r="B202" s="35"/>
      <c r="C202" s="35"/>
      <c r="D202" s="35"/>
      <c r="E202" s="36"/>
      <c r="F202" s="36"/>
      <c r="G202" s="36"/>
      <c r="H202" s="12"/>
      <c r="I202" s="12"/>
      <c r="J202" s="37" t="str">
        <f aca="false">IF(OR(H202="",H202-I202=0),"",I202/(H202-I202))</f>
        <v/>
      </c>
      <c r="K202" s="1"/>
    </row>
    <row r="203" customFormat="false" ht="15" hidden="false" customHeight="false" outlineLevel="0" collapsed="false">
      <c r="A203" s="35"/>
      <c r="B203" s="35"/>
      <c r="C203" s="35"/>
      <c r="D203" s="35"/>
      <c r="E203" s="36"/>
      <c r="F203" s="36"/>
      <c r="G203" s="36"/>
      <c r="H203" s="12"/>
      <c r="I203" s="12"/>
      <c r="J203" s="37" t="str">
        <f aca="false">IF(OR(H203="",H203-I203=0),"",I203/(H203-I203))</f>
        <v/>
      </c>
      <c r="K203" s="1"/>
    </row>
    <row r="204" customFormat="false" ht="15" hidden="false" customHeight="false" outlineLevel="0" collapsed="false">
      <c r="A204" s="35"/>
      <c r="B204" s="35"/>
      <c r="C204" s="35"/>
      <c r="D204" s="35"/>
      <c r="E204" s="36"/>
      <c r="F204" s="36"/>
      <c r="G204" s="36"/>
      <c r="H204" s="12"/>
      <c r="I204" s="12"/>
      <c r="J204" s="37" t="str">
        <f aca="false">IF(OR(H204="",H204-I204=0),"",I204/(H204-I204))</f>
        <v/>
      </c>
      <c r="K204" s="1"/>
    </row>
    <row r="205" customFormat="false" ht="15" hidden="false" customHeight="false" outlineLevel="0" collapsed="false">
      <c r="A205" s="35"/>
      <c r="B205" s="35"/>
      <c r="C205" s="35"/>
      <c r="D205" s="35"/>
      <c r="E205" s="36"/>
      <c r="F205" s="36"/>
      <c r="G205" s="36"/>
      <c r="H205" s="12"/>
      <c r="I205" s="12"/>
      <c r="J205" s="37" t="str">
        <f aca="false">IF(OR(H205="",H205-I205=0),"",I205/(H205-I205))</f>
        <v/>
      </c>
      <c r="K205" s="1"/>
    </row>
    <row r="206" customFormat="false" ht="15" hidden="false" customHeight="false" outlineLevel="0" collapsed="false">
      <c r="A206" s="35"/>
      <c r="B206" s="35"/>
      <c r="C206" s="35"/>
      <c r="D206" s="35"/>
      <c r="E206" s="36"/>
      <c r="F206" s="36"/>
      <c r="G206" s="36"/>
      <c r="H206" s="12"/>
      <c r="I206" s="12"/>
      <c r="J206" s="37" t="str">
        <f aca="false">IF(OR(H206="",H206-I206=0),"",I206/(H206-I206))</f>
        <v/>
      </c>
      <c r="K206" s="1"/>
    </row>
    <row r="207" customFormat="false" ht="15" hidden="false" customHeight="false" outlineLevel="0" collapsed="false">
      <c r="A207" s="35"/>
      <c r="B207" s="35"/>
      <c r="C207" s="35"/>
      <c r="D207" s="35"/>
      <c r="E207" s="36"/>
      <c r="F207" s="36"/>
      <c r="G207" s="36"/>
      <c r="H207" s="12"/>
      <c r="I207" s="12"/>
      <c r="J207" s="37" t="str">
        <f aca="false">IF(OR(H207="",H207-I207=0),"",I207/(H207-I207))</f>
        <v/>
      </c>
      <c r="K207" s="1"/>
    </row>
    <row r="208" customFormat="false" ht="15" hidden="false" customHeight="false" outlineLevel="0" collapsed="false">
      <c r="A208" s="35"/>
      <c r="B208" s="35"/>
      <c r="C208" s="35"/>
      <c r="D208" s="35"/>
      <c r="E208" s="36"/>
      <c r="F208" s="36"/>
      <c r="G208" s="36"/>
      <c r="H208" s="12"/>
      <c r="I208" s="12"/>
      <c r="J208" s="37" t="str">
        <f aca="false">IF(OR(H208="",H208-I208=0),"",I208/(H208-I208))</f>
        <v/>
      </c>
      <c r="K208" s="1"/>
    </row>
    <row r="209" customFormat="false" ht="15" hidden="false" customHeight="false" outlineLevel="0" collapsed="false">
      <c r="A209" s="35"/>
      <c r="B209" s="35"/>
      <c r="C209" s="35"/>
      <c r="D209" s="35"/>
      <c r="E209" s="36"/>
      <c r="F209" s="36"/>
      <c r="G209" s="36"/>
      <c r="H209" s="12"/>
      <c r="I209" s="12"/>
      <c r="J209" s="37" t="str">
        <f aca="false">IF(OR(H209="",H209-I209=0),"",I209/(H209-I209))</f>
        <v/>
      </c>
      <c r="K209" s="1"/>
    </row>
    <row r="210" customFormat="false" ht="15" hidden="false" customHeight="false" outlineLevel="0" collapsed="false">
      <c r="A210" s="35"/>
      <c r="B210" s="35"/>
      <c r="C210" s="35"/>
      <c r="D210" s="35"/>
      <c r="E210" s="36"/>
      <c r="F210" s="36"/>
      <c r="G210" s="36"/>
      <c r="H210" s="12"/>
      <c r="I210" s="12"/>
      <c r="J210" s="37" t="str">
        <f aca="false">IF(OR(H210="",H210-I210=0),"",I210/(H210-I210))</f>
        <v/>
      </c>
      <c r="K2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4" min="3" style="0" width="14"/>
    <col collapsed="false" customWidth="true" hidden="false" outlineLevel="0" max="9" min="5" style="0" width="16"/>
  </cols>
  <sheetData>
    <row r="1" customFormat="false" ht="17.35" hidden="false" customHeight="false" outlineLevel="0" collapsed="false">
      <c r="A1" s="2" t="s">
        <v>83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1" t="s">
        <v>84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0" hidden="false" customHeight="true" outlineLevel="0" collapsed="false">
      <c r="A4" s="34" t="s">
        <v>85</v>
      </c>
      <c r="B4" s="34" t="s">
        <v>86</v>
      </c>
      <c r="C4" s="34" t="s">
        <v>30</v>
      </c>
      <c r="D4" s="34" t="s">
        <v>87</v>
      </c>
      <c r="E4" s="34" t="s">
        <v>88</v>
      </c>
      <c r="F4" s="34" t="s">
        <v>89</v>
      </c>
      <c r="G4" s="34" t="s">
        <v>90</v>
      </c>
      <c r="H4" s="34" t="s">
        <v>91</v>
      </c>
      <c r="I4" s="34" t="s">
        <v>92</v>
      </c>
    </row>
    <row r="5" customFormat="false" ht="15" hidden="false" customHeight="false" outlineLevel="0" collapsed="false">
      <c r="A5" s="38" t="n">
        <v>0</v>
      </c>
      <c r="B5" s="38" t="n">
        <f aca="false">IF($A5&gt;シミュレーション!$B$10,"",シミュレーション!$B$4+$A5)</f>
        <v>35</v>
      </c>
      <c r="C5" s="13" t="n">
        <v>0</v>
      </c>
      <c r="D5" s="13" t="n">
        <v>0</v>
      </c>
      <c r="E5" s="13" t="n">
        <f aca="false">シミュレーション!$B$7</f>
        <v>0</v>
      </c>
      <c r="F5" s="13" t="n">
        <f aca="false">シミュレーション!$B$7</f>
        <v>0</v>
      </c>
      <c r="G5" s="13" t="n">
        <f aca="false">IF($A5&gt;シミュレーション!$B$10,"",F5-E5)</f>
        <v>0</v>
      </c>
      <c r="H5" s="13" t="n">
        <f aca="false">IF($A5&gt;シミュレーション!$B$10,"",F5-MAX(G5,0)*シミュレーション!$B$12)</f>
        <v>0</v>
      </c>
      <c r="I5" s="13" t="n">
        <f aca="false">IF($A5&gt;シミュレーション!$B$10,"",H5/(1+シミュレーション!$B$13)^$A5)</f>
        <v>0</v>
      </c>
    </row>
    <row r="6" customFormat="false" ht="15" hidden="false" customHeight="false" outlineLevel="0" collapsed="false">
      <c r="A6" s="38" t="n">
        <v>1</v>
      </c>
      <c r="B6" s="38" t="n">
        <f aca="false">IF($A6&gt;シミュレーション!$B$10,"",シミュレーション!$B$4+$A6)</f>
        <v>36</v>
      </c>
      <c r="C6" s="13" t="n">
        <f aca="false">IF($A6&gt;シミュレーション!$B$10,"",シミュレーション!$B$8*(1+シミュレーション!$B$11)^($A6-1))</f>
        <v>30000</v>
      </c>
      <c r="D6" s="13" t="n">
        <f aca="false">IF($A6&gt;シミュレーション!$B$10,"",C6*12)</f>
        <v>360000</v>
      </c>
      <c r="E6" s="13" t="n">
        <f aca="false">IF($A6&gt;シミュレーション!$B$10,"",E5+D6)</f>
        <v>360000</v>
      </c>
      <c r="F6" s="13" t="n">
        <f aca="false">IF($A6&gt;シミュレーション!$B$10,"",FV(シミュレーション!$B$14,12,-C6,-F5))</f>
        <v>368177.325887919</v>
      </c>
      <c r="G6" s="13" t="n">
        <f aca="false">IF($A6&gt;シミュレーション!$B$10,"",F6-E6)</f>
        <v>8177.325887919</v>
      </c>
      <c r="H6" s="13" t="n">
        <f aca="false">IF($A6&gt;シミュレーション!$B$10,"",F6-MAX(G6,0)*シミュレーション!$B$12)</f>
        <v>368177.325887919</v>
      </c>
      <c r="I6" s="13" t="n">
        <f aca="false">IF($A6&gt;シミュレーション!$B$10,"",H6/(1+シミュレーション!$B$13)^$A6)</f>
        <v>360958.162635215</v>
      </c>
    </row>
    <row r="7" customFormat="false" ht="15" hidden="false" customHeight="false" outlineLevel="0" collapsed="false">
      <c r="A7" s="38" t="n">
        <v>2</v>
      </c>
      <c r="B7" s="38" t="n">
        <f aca="false">IF($A7&gt;シミュレーション!$B$10,"",シミュレーション!$B$4+$A7)</f>
        <v>37</v>
      </c>
      <c r="C7" s="13" t="n">
        <f aca="false">IF($A7&gt;シミュレーション!$B$10,"",シミュレーション!$B$8*(1+シミュレーション!$B$11)^($A7-1))</f>
        <v>30000</v>
      </c>
      <c r="D7" s="13" t="n">
        <f aca="false">IF($A7&gt;シミュレーション!$B$10,"",C7*12)</f>
        <v>360000</v>
      </c>
      <c r="E7" s="13" t="n">
        <f aca="false">IF($A7&gt;シミュレーション!$B$10,"",E6+D7)</f>
        <v>720000</v>
      </c>
      <c r="F7" s="13" t="n">
        <f aca="false">IF($A7&gt;シミュレーション!$B$10,"",FV(シミュレーション!$B$14,12,-C7,-F6))</f>
        <v>754763.518070234</v>
      </c>
      <c r="G7" s="13" t="n">
        <f aca="false">IF($A7&gt;シミュレーション!$B$10,"",F7-E7)</f>
        <v>34763.5180702342</v>
      </c>
      <c r="H7" s="13" t="n">
        <f aca="false">IF($A7&gt;シミュレーション!$B$10,"",F7-MAX(G7,0)*シミュレーション!$B$12)</f>
        <v>754763.518070234</v>
      </c>
      <c r="I7" s="13" t="n">
        <f aca="false">IF($A7&gt;シミュレーション!$B$10,"",H7/(1+シミュレーション!$B$13)^$A7)</f>
        <v>725455.130786461</v>
      </c>
    </row>
    <row r="8" customFormat="false" ht="15" hidden="false" customHeight="false" outlineLevel="0" collapsed="false">
      <c r="A8" s="38" t="n">
        <v>3</v>
      </c>
      <c r="B8" s="38" t="n">
        <f aca="false">IF($A8&gt;シミュレーション!$B$10,"",シミュレーション!$B$4+$A8)</f>
        <v>38</v>
      </c>
      <c r="C8" s="13" t="n">
        <f aca="false">IF($A8&gt;シミュレーション!$B$10,"",シミュレーション!$B$8*(1+シミュレーション!$B$11)^($A8-1))</f>
        <v>30000</v>
      </c>
      <c r="D8" s="13" t="n">
        <f aca="false">IF($A8&gt;シミュレーション!$B$10,"",C8*12)</f>
        <v>360000</v>
      </c>
      <c r="E8" s="13" t="n">
        <f aca="false">IF($A8&gt;シミュレーション!$B$10,"",E7+D8)</f>
        <v>1080000</v>
      </c>
      <c r="F8" s="13" t="n">
        <f aca="false">IF($A8&gt;シミュレーション!$B$10,"",FV(シミュレーション!$B$14,12,-C8,-F7))</f>
        <v>1160679.01986167</v>
      </c>
      <c r="G8" s="13" t="n">
        <f aca="false">IF($A8&gt;シミュレーション!$B$10,"",F8-E8)</f>
        <v>80679.0198616656</v>
      </c>
      <c r="H8" s="13" t="n">
        <f aca="false">IF($A8&gt;シミュレーション!$B$10,"",F8-MAX(G8,0)*シミュレーション!$B$12)</f>
        <v>1160679.01986167</v>
      </c>
      <c r="I8" s="13" t="n">
        <f aca="false">IF($A8&gt;シミュレーション!$B$10,"",H8/(1+シミュレーション!$B$13)^$A8)</f>
        <v>1093733.76365582</v>
      </c>
    </row>
    <row r="9" customFormat="false" ht="15" hidden="false" customHeight="false" outlineLevel="0" collapsed="false">
      <c r="A9" s="38" t="n">
        <v>4</v>
      </c>
      <c r="B9" s="38" t="n">
        <f aca="false">IF($A9&gt;シミュレーション!$B$10,"",シミュレーション!$B$4+$A9)</f>
        <v>39</v>
      </c>
      <c r="C9" s="13" t="n">
        <f aca="false">IF($A9&gt;シミュレーション!$B$10,"",シミュレーション!$B$8*(1+シミュレーション!$B$11)^($A9-1))</f>
        <v>30000</v>
      </c>
      <c r="D9" s="13" t="n">
        <f aca="false">IF($A9&gt;シミュレーション!$B$10,"",C9*12)</f>
        <v>360000</v>
      </c>
      <c r="E9" s="13" t="n">
        <f aca="false">IF($A9&gt;シミュレーション!$B$10,"",E8+D9)</f>
        <v>1440000</v>
      </c>
      <c r="F9" s="13" t="n">
        <f aca="false">IF($A9&gt;シミュレーション!$B$10,"",FV(シミュレーション!$B$14,12,-C9,-F8))</f>
        <v>1586890.29674267</v>
      </c>
      <c r="G9" s="13" t="n">
        <f aca="false">IF($A9&gt;シミュレーション!$B$10,"",F9-E9)</f>
        <v>146890.296742669</v>
      </c>
      <c r="H9" s="13" t="n">
        <f aca="false">IF($A9&gt;シミュレーション!$B$10,"",F9-MAX(G9,0)*シミュレーション!$B$12)</f>
        <v>1586890.29674267</v>
      </c>
      <c r="I9" s="13" t="n">
        <f aca="false">IF($A9&gt;シミュレーション!$B$10,"",H9/(1+シミュレーション!$B$13)^$A9)</f>
        <v>1466041.34225157</v>
      </c>
    </row>
    <row r="10" customFormat="false" ht="15" hidden="false" customHeight="false" outlineLevel="0" collapsed="false">
      <c r="A10" s="38" t="n">
        <v>5</v>
      </c>
      <c r="B10" s="38" t="n">
        <f aca="false">IF($A10&gt;シミュレーション!$B$10,"",シミュレーション!$B$4+$A10)</f>
        <v>40</v>
      </c>
      <c r="C10" s="13" t="n">
        <f aca="false">IF($A10&gt;シミュレーション!$B$10,"",シミュレーション!$B$8*(1+シミュレーション!$B$11)^($A10-1))</f>
        <v>30000</v>
      </c>
      <c r="D10" s="13" t="n">
        <f aca="false">IF($A10&gt;シミュレーション!$B$10,"",C10*12)</f>
        <v>360000</v>
      </c>
      <c r="E10" s="13" t="n">
        <f aca="false">IF($A10&gt;シミュレーション!$B$10,"",E9+D10)</f>
        <v>1800000</v>
      </c>
      <c r="F10" s="13" t="n">
        <f aca="false">IF($A10&gt;シミュレーション!$B$10,"",FV(シミュレーション!$B$14,12,-C10,-F9))</f>
        <v>2034412.13746772</v>
      </c>
      <c r="G10" s="13" t="n">
        <f aca="false">IF($A10&gt;シミュレーション!$B$10,"",F10-E10)</f>
        <v>234412.137467722</v>
      </c>
      <c r="H10" s="13" t="n">
        <f aca="false">IF($A10&gt;シミュレーション!$B$10,"",F10-MAX(G10,0)*シミュレーション!$B$12)</f>
        <v>2034412.13746772</v>
      </c>
      <c r="I10" s="13" t="n">
        <f aca="false">IF($A10&gt;シミュレーション!$B$10,"",H10/(1+シミュレーション!$B$13)^$A10)</f>
        <v>1842629.75279645</v>
      </c>
    </row>
    <row r="11" customFormat="false" ht="15" hidden="false" customHeight="false" outlineLevel="0" collapsed="false">
      <c r="A11" s="38" t="n">
        <v>6</v>
      </c>
      <c r="B11" s="38" t="n">
        <f aca="false">IF($A11&gt;シミュレーション!$B$10,"",シミュレーション!$B$4+$A11)</f>
        <v>41</v>
      </c>
      <c r="C11" s="13" t="n">
        <f aca="false">IF($A11&gt;シミュレーション!$B$10,"",シミュレーション!$B$8*(1+シミュレーション!$B$11)^($A11-1))</f>
        <v>30000</v>
      </c>
      <c r="D11" s="13" t="n">
        <f aca="false">IF($A11&gt;シミュレーション!$B$10,"",C11*12)</f>
        <v>360000</v>
      </c>
      <c r="E11" s="13" t="n">
        <f aca="false">IF($A11&gt;シミュレーション!$B$10,"",E10+D11)</f>
        <v>2160000</v>
      </c>
      <c r="F11" s="13" t="n">
        <f aca="false">IF($A11&gt;シミュレーション!$B$10,"",FV(シミュレーション!$B$14,12,-C11,-F10))</f>
        <v>2504310.07022903</v>
      </c>
      <c r="G11" s="13" t="n">
        <f aca="false">IF($A11&gt;シミュレーション!$B$10,"",F11-E11)</f>
        <v>344310.070229029</v>
      </c>
      <c r="H11" s="13" t="n">
        <f aca="false">IF($A11&gt;シミュレーション!$B$10,"",F11-MAX(G11,0)*シミュレーション!$B$12)</f>
        <v>2504310.07022903</v>
      </c>
      <c r="I11" s="13" t="n">
        <f aca="false">IF($A11&gt;シミュレーション!$B$10,"",H11/(1+シミュレーション!$B$13)^$A11)</f>
        <v>2223755.67448407</v>
      </c>
    </row>
    <row r="12" customFormat="false" ht="15" hidden="false" customHeight="false" outlineLevel="0" collapsed="false">
      <c r="A12" s="38" t="n">
        <v>7</v>
      </c>
      <c r="B12" s="38" t="n">
        <f aca="false">IF($A12&gt;シミュレーション!$B$10,"",シミュレーション!$B$4+$A12)</f>
        <v>42</v>
      </c>
      <c r="C12" s="13" t="n">
        <f aca="false">IF($A12&gt;シミュレーション!$B$10,"",シミュレーション!$B$8*(1+シミュレーション!$B$11)^($A12-1))</f>
        <v>30000</v>
      </c>
      <c r="D12" s="13" t="n">
        <f aca="false">IF($A12&gt;シミュレーション!$B$10,"",C12*12)</f>
        <v>360000</v>
      </c>
      <c r="E12" s="13" t="n">
        <f aca="false">IF($A12&gt;シミュレーション!$B$10,"",E11+D12)</f>
        <v>2520000</v>
      </c>
      <c r="F12" s="13" t="n">
        <f aca="false">IF($A12&gt;シミュレーション!$B$10,"",FV(シミュレーション!$B$14,12,-C12,-F11))</f>
        <v>2997702.8996284</v>
      </c>
      <c r="G12" s="13" t="n">
        <f aca="false">IF($A12&gt;シミュレーション!$B$10,"",F12-E12)</f>
        <v>477702.899628401</v>
      </c>
      <c r="H12" s="13" t="n">
        <f aca="false">IF($A12&gt;シミュレーション!$B$10,"",F12-MAX(G12,0)*シミュレーション!$B$12)</f>
        <v>2997702.8996284</v>
      </c>
      <c r="I12" s="13" t="n">
        <f aca="false">IF($A12&gt;シミュレーション!$B$10,"",H12/(1+シミュレーション!$B$13)^$A12)</f>
        <v>2609680.77173195</v>
      </c>
    </row>
    <row r="13" customFormat="false" ht="15" hidden="false" customHeight="false" outlineLevel="0" collapsed="false">
      <c r="A13" s="38" t="n">
        <v>8</v>
      </c>
      <c r="B13" s="38" t="n">
        <f aca="false">IF($A13&gt;シミュレーション!$B$10,"",シミュレーション!$B$4+$A13)</f>
        <v>43</v>
      </c>
      <c r="C13" s="13" t="n">
        <f aca="false">IF($A13&gt;シミュレーション!$B$10,"",シミュレーション!$B$8*(1+シミュレーション!$B$11)^($A13-1))</f>
        <v>30000</v>
      </c>
      <c r="D13" s="13" t="n">
        <f aca="false">IF($A13&gt;シミュレーション!$B$10,"",C13*12)</f>
        <v>360000</v>
      </c>
      <c r="E13" s="13" t="n">
        <f aca="false">IF($A13&gt;シミュレーション!$B$10,"",E12+D13)</f>
        <v>2880000</v>
      </c>
      <c r="F13" s="13" t="n">
        <f aca="false">IF($A13&gt;シミュレーション!$B$10,"",FV(シミュレーション!$B$14,12,-C13,-F12))</f>
        <v>3515765.37049774</v>
      </c>
      <c r="G13" s="13" t="n">
        <f aca="false">IF($A13&gt;シミュレーション!$B$10,"",F13-E13)</f>
        <v>635765.370497742</v>
      </c>
      <c r="H13" s="13" t="n">
        <f aca="false">IF($A13&gt;シミュレーション!$B$10,"",F13-MAX(G13,0)*シミュレーション!$B$12)</f>
        <v>3515765.37049774</v>
      </c>
      <c r="I13" s="13" t="n">
        <f aca="false">IF($A13&gt;シミュレーション!$B$10,"",H13/(1+シミュレーション!$B$13)^$A13)</f>
        <v>3000671.89108346</v>
      </c>
    </row>
    <row r="14" customFormat="false" ht="15" hidden="false" customHeight="false" outlineLevel="0" collapsed="false">
      <c r="A14" s="38" t="n">
        <v>9</v>
      </c>
      <c r="B14" s="38" t="n">
        <f aca="false">IF($A14&gt;シミュレーション!$B$10,"",シミュレーション!$B$4+$A14)</f>
        <v>44</v>
      </c>
      <c r="C14" s="13" t="n">
        <f aca="false">IF($A14&gt;シミュレーション!$B$10,"",シミュレーション!$B$8*(1+シミュレーション!$B$11)^($A14-1))</f>
        <v>30000</v>
      </c>
      <c r="D14" s="13" t="n">
        <f aca="false">IF($A14&gt;シミュレーション!$B$10,"",C14*12)</f>
        <v>360000</v>
      </c>
      <c r="E14" s="13" t="n">
        <f aca="false">IF($A14&gt;シミュレーション!$B$10,"",E13+D14)</f>
        <v>3240000</v>
      </c>
      <c r="F14" s="13" t="n">
        <f aca="false">IF($A14&gt;シミュレーション!$B$10,"",FV(シミュレーション!$B$14,12,-C14,-F13))</f>
        <v>4059730.96491055</v>
      </c>
      <c r="G14" s="13" t="n">
        <f aca="false">IF($A14&gt;シミュレーション!$B$10,"",F14-E14)</f>
        <v>819730.96491055</v>
      </c>
      <c r="H14" s="13" t="n">
        <f aca="false">IF($A14&gt;シミュレーション!$B$10,"",F14-MAX(G14,0)*シミュレーション!$B$12)</f>
        <v>4059730.96491055</v>
      </c>
      <c r="I14" s="13" t="n">
        <f aca="false">IF($A14&gt;シミュレーション!$B$10,"",H14/(1+シミュレーション!$B$13)^$A14)</f>
        <v>3397001.26291519</v>
      </c>
    </row>
    <row r="15" customFormat="false" ht="15" hidden="false" customHeight="false" outlineLevel="0" collapsed="false">
      <c r="A15" s="38" t="n">
        <v>10</v>
      </c>
      <c r="B15" s="38" t="n">
        <f aca="false">IF($A15&gt;シミュレーション!$B$10,"",シミュレーション!$B$4+$A15)</f>
        <v>45</v>
      </c>
      <c r="C15" s="13" t="n">
        <f aca="false">IF($A15&gt;シミュレーション!$B$10,"",シミュレーション!$B$8*(1+シミュレーション!$B$11)^($A15-1))</f>
        <v>30000</v>
      </c>
      <c r="D15" s="13" t="n">
        <f aca="false">IF($A15&gt;シミュレーション!$B$10,"",C15*12)</f>
        <v>360000</v>
      </c>
      <c r="E15" s="13" t="n">
        <f aca="false">IF($A15&gt;シミュレーション!$B$10,"",E14+D15)</f>
        <v>3600000</v>
      </c>
      <c r="F15" s="13" t="n">
        <f aca="false">IF($A15&gt;シミュレーション!$B$10,"",FV(シミュレーション!$B$14,12,-C15,-F14))</f>
        <v>4630894.839044</v>
      </c>
      <c r="G15" s="13" t="n">
        <f aca="false">IF($A15&gt;シミュレーション!$B$10,"",F15-E15)</f>
        <v>1030894.839044</v>
      </c>
      <c r="H15" s="13" t="n">
        <f aca="false">IF($A15&gt;シミュレーション!$B$10,"",F15-MAX(G15,0)*シミュレーション!$B$12)</f>
        <v>4630894.839044</v>
      </c>
      <c r="I15" s="13" t="n">
        <f aca="false">IF($A15&gt;シミュレーション!$B$10,"",H15/(1+シミュレーション!$B$13)^$A15)</f>
        <v>3798946.70811038</v>
      </c>
    </row>
    <row r="16" customFormat="false" ht="15" hidden="false" customHeight="false" outlineLevel="0" collapsed="false">
      <c r="A16" s="38" t="n">
        <v>11</v>
      </c>
      <c r="B16" s="38" t="n">
        <f aca="false">IF($A16&gt;シミュレーション!$B$10,"",シミュレーション!$B$4+$A16)</f>
        <v>46</v>
      </c>
      <c r="C16" s="13" t="n">
        <f aca="false">IF($A16&gt;シミュレーション!$B$10,"",シミュレーション!$B$8*(1+シミュレーション!$B$11)^($A16-1))</f>
        <v>30000</v>
      </c>
      <c r="D16" s="13" t="n">
        <f aca="false">IF($A16&gt;シミュレーション!$B$10,"",C16*12)</f>
        <v>360000</v>
      </c>
      <c r="E16" s="13" t="n">
        <f aca="false">IF($A16&gt;シミュレーション!$B$10,"",E15+D16)</f>
        <v>3960000</v>
      </c>
      <c r="F16" s="13" t="n">
        <f aca="false">IF($A16&gt;シミュレーション!$B$10,"",FV(シミュレーション!$B$14,12,-C16,-F15))</f>
        <v>5230616.90688412</v>
      </c>
      <c r="G16" s="13" t="n">
        <f aca="false">IF($A16&gt;シミュレーション!$B$10,"",F16-E16)</f>
        <v>1270616.90688412</v>
      </c>
      <c r="H16" s="13" t="n">
        <f aca="false">IF($A16&gt;シミュレーション!$B$10,"",F16-MAX(G16,0)*シミュレーション!$B$12)</f>
        <v>5230616.90688412</v>
      </c>
      <c r="I16" s="13" t="n">
        <f aca="false">IF($A16&gt;シミュレーション!$B$10,"",H16/(1+シミュレーション!$B$13)^$A16)</f>
        <v>4206791.84986337</v>
      </c>
    </row>
    <row r="17" customFormat="false" ht="15" hidden="false" customHeight="false" outlineLevel="0" collapsed="false">
      <c r="A17" s="38" t="n">
        <v>12</v>
      </c>
      <c r="B17" s="38" t="n">
        <f aca="false">IF($A17&gt;シミュレーション!$B$10,"",シミュレーション!$B$4+$A17)</f>
        <v>47</v>
      </c>
      <c r="C17" s="13" t="n">
        <f aca="false">IF($A17&gt;シミュレーション!$B$10,"",シミュレーション!$B$8*(1+シミュレーション!$B$11)^($A17-1))</f>
        <v>30000</v>
      </c>
      <c r="D17" s="13" t="n">
        <f aca="false">IF($A17&gt;シミュレーション!$B$10,"",C17*12)</f>
        <v>360000</v>
      </c>
      <c r="E17" s="13" t="n">
        <f aca="false">IF($A17&gt;シミュレーション!$B$10,"",E16+D17)</f>
        <v>4320000</v>
      </c>
      <c r="F17" s="13" t="n">
        <f aca="false">IF($A17&gt;シミュレーション!$B$10,"",FV(シミュレーション!$B$14,12,-C17,-F16))</f>
        <v>5860325.07811625</v>
      </c>
      <c r="G17" s="13" t="n">
        <f aca="false">IF($A17&gt;シミュレーション!$B$10,"",F17-E17)</f>
        <v>1540325.07811625</v>
      </c>
      <c r="H17" s="13" t="n">
        <f aca="false">IF($A17&gt;シミュレーション!$B$10,"",F17-MAX(G17,0)*シミュレーション!$B$12)</f>
        <v>5860325.07811625</v>
      </c>
      <c r="I17" s="13" t="n">
        <f aca="false">IF($A17&gt;シミュレーション!$B$10,"",H17/(1+シミュレーション!$B$13)^$A17)</f>
        <v>4620826.3307847</v>
      </c>
    </row>
    <row r="18" customFormat="false" ht="15" hidden="false" customHeight="false" outlineLevel="0" collapsed="false">
      <c r="A18" s="38" t="n">
        <v>13</v>
      </c>
      <c r="B18" s="38" t="n">
        <f aca="false">IF($A18&gt;シミュレーション!$B$10,"",シミュレーション!$B$4+$A18)</f>
        <v>48</v>
      </c>
      <c r="C18" s="13" t="n">
        <f aca="false">IF($A18&gt;シミュレーション!$B$10,"",シミュレーション!$B$8*(1+シミュレーション!$B$11)^($A18-1))</f>
        <v>30000</v>
      </c>
      <c r="D18" s="13" t="n">
        <f aca="false">IF($A18&gt;シミュレーション!$B$10,"",C18*12)</f>
        <v>360000</v>
      </c>
      <c r="E18" s="13" t="n">
        <f aca="false">IF($A18&gt;シミュレーション!$B$10,"",E17+D18)</f>
        <v>4680000</v>
      </c>
      <c r="F18" s="13" t="n">
        <f aca="false">IF($A18&gt;シミュレーション!$B$10,"",FV(シミュレーション!$B$14,12,-C18,-F17))</f>
        <v>6521518.65790999</v>
      </c>
      <c r="G18" s="13" t="n">
        <f aca="false">IF($A18&gt;シミュレーション!$B$10,"",F18-E18)</f>
        <v>1841518.65790999</v>
      </c>
      <c r="H18" s="13" t="n">
        <f aca="false">IF($A18&gt;シミュレーション!$B$10,"",F18-MAX(G18,0)*シミュレーション!$B$12)</f>
        <v>6521518.65790999</v>
      </c>
      <c r="I18" s="13" t="n">
        <f aca="false">IF($A18&gt;シミュレーション!$B$10,"",H18/(1+シミュレーション!$B$13)^$A18)</f>
        <v>5041346.03548085</v>
      </c>
    </row>
    <row r="19" customFormat="false" ht="15" hidden="false" customHeight="false" outlineLevel="0" collapsed="false">
      <c r="A19" s="38" t="n">
        <v>14</v>
      </c>
      <c r="B19" s="38" t="n">
        <f aca="false">IF($A19&gt;シミュレーション!$B$10,"",シミュレーション!$B$4+$A19)</f>
        <v>49</v>
      </c>
      <c r="C19" s="13" t="n">
        <f aca="false">IF($A19&gt;シミュレーション!$B$10,"",シミュレーション!$B$8*(1+シミュレーション!$B$11)^($A19-1))</f>
        <v>30000</v>
      </c>
      <c r="D19" s="13" t="n">
        <f aca="false">IF($A19&gt;シミュレーション!$B$10,"",C19*12)</f>
        <v>360000</v>
      </c>
      <c r="E19" s="13" t="n">
        <f aca="false">IF($A19&gt;シミュレーション!$B$10,"",E18+D19)</f>
        <v>5040000</v>
      </c>
      <c r="F19" s="13" t="n">
        <f aca="false">IF($A19&gt;シミュレーション!$B$10,"",FV(シミュレーション!$B$14,12,-C19,-F18))</f>
        <v>7215771.91669341</v>
      </c>
      <c r="G19" s="13" t="n">
        <f aca="false">IF($A19&gt;シミュレーション!$B$10,"",F19-E19)</f>
        <v>2175771.91669341</v>
      </c>
      <c r="H19" s="13" t="n">
        <f aca="false">IF($A19&gt;シミュレーション!$B$10,"",F19-MAX(G19,0)*シミュレーション!$B$12)</f>
        <v>7215771.91669341</v>
      </c>
      <c r="I19" s="13" t="n">
        <f aca="false">IF($A19&gt;シミュレーション!$B$10,"",H19/(1+シミュレーション!$B$13)^$A19)</f>
        <v>5468653.31878751</v>
      </c>
    </row>
    <row r="20" customFormat="false" ht="15" hidden="false" customHeight="false" outlineLevel="0" collapsed="false">
      <c r="A20" s="38" t="n">
        <v>15</v>
      </c>
      <c r="B20" s="38" t="n">
        <f aca="false">IF($A20&gt;シミュレーション!$B$10,"",シミュレーション!$B$4+$A20)</f>
        <v>50</v>
      </c>
      <c r="C20" s="13" t="n">
        <f aca="false">IF($A20&gt;シミュレーション!$B$10,"",シミュレーション!$B$8*(1+シミュレーション!$B$11)^($A20-1))</f>
        <v>30000</v>
      </c>
      <c r="D20" s="13" t="n">
        <f aca="false">IF($A20&gt;シミュレーション!$B$10,"",C20*12)</f>
        <v>360000</v>
      </c>
      <c r="E20" s="13" t="n">
        <f aca="false">IF($A20&gt;シミュレーション!$B$10,"",E19+D20)</f>
        <v>5400000</v>
      </c>
      <c r="F20" s="13" t="n">
        <f aca="false">IF($A20&gt;シミュレーション!$B$10,"",FV(シミュレーション!$B$14,12,-C20,-F19))</f>
        <v>7944737.83841601</v>
      </c>
      <c r="G20" s="13" t="n">
        <f aca="false">IF($A20&gt;シミュレーション!$B$10,"",F20-E20)</f>
        <v>2544737.83841601</v>
      </c>
      <c r="H20" s="13" t="n">
        <f aca="false">IF($A20&gt;シミュレーション!$B$10,"",F20-MAX(G20,0)*シミュレーション!$B$12)</f>
        <v>7944737.83841601</v>
      </c>
      <c r="I20" s="13" t="n">
        <f aca="false">IF($A20&gt;シミュレーション!$B$10,"",H20/(1+シミュレーション!$B$13)^$A20)</f>
        <v>5903057.23984024</v>
      </c>
    </row>
    <row r="21" customFormat="false" ht="15" hidden="false" customHeight="false" outlineLevel="0" collapsed="false">
      <c r="A21" s="38" t="n">
        <v>16</v>
      </c>
      <c r="B21" s="38" t="n">
        <f aca="false">IF($A21&gt;シミュレーション!$B$10,"",シミュレーション!$B$4+$A21)</f>
        <v>51</v>
      </c>
      <c r="C21" s="13" t="n">
        <f aca="false">IF($A21&gt;シミュレーション!$B$10,"",シミュレーション!$B$8*(1+シミュレーション!$B$11)^($A21-1))</f>
        <v>30000</v>
      </c>
      <c r="D21" s="13" t="n">
        <f aca="false">IF($A21&gt;シミュレーション!$B$10,"",C21*12)</f>
        <v>360000</v>
      </c>
      <c r="E21" s="13" t="n">
        <f aca="false">IF($A21&gt;シミュレーション!$B$10,"",E20+D21)</f>
        <v>5760000</v>
      </c>
      <c r="F21" s="13" t="n">
        <f aca="false">IF($A21&gt;シミュレーション!$B$10,"",FV(シミュレーション!$B$14,12,-C21,-F20))</f>
        <v>8710152.05622473</v>
      </c>
      <c r="G21" s="13" t="n">
        <f aca="false">IF($A21&gt;シミュレーション!$B$10,"",F21-E21)</f>
        <v>2950152.05622473</v>
      </c>
      <c r="H21" s="13" t="n">
        <f aca="false">IF($A21&gt;シミュレーション!$B$10,"",F21-MAX(G21,0)*シミュレーション!$B$12)</f>
        <v>8710152.05622473</v>
      </c>
      <c r="I21" s="13" t="n">
        <f aca="false">IF($A21&gt;シミュレーション!$B$10,"",H21/(1+シミュレーション!$B$13)^$A21)</f>
        <v>6344873.80217134</v>
      </c>
    </row>
    <row r="22" customFormat="false" ht="15" hidden="false" customHeight="false" outlineLevel="0" collapsed="false">
      <c r="A22" s="38" t="n">
        <v>17</v>
      </c>
      <c r="B22" s="38" t="n">
        <f aca="false">IF($A22&gt;シミュレーション!$B$10,"",シミュレーション!$B$4+$A22)</f>
        <v>52</v>
      </c>
      <c r="C22" s="13" t="n">
        <f aca="false">IF($A22&gt;シミュレーション!$B$10,"",シミュレーション!$B$8*(1+シミュレーション!$B$11)^($A22-1))</f>
        <v>30000</v>
      </c>
      <c r="D22" s="13" t="n">
        <f aca="false">IF($A22&gt;シミュレーション!$B$10,"",C22*12)</f>
        <v>360000</v>
      </c>
      <c r="E22" s="13" t="n">
        <f aca="false">IF($A22&gt;シミュレーション!$B$10,"",E21+D22)</f>
        <v>6120000</v>
      </c>
      <c r="F22" s="13" t="n">
        <f aca="false">IF($A22&gt;シミュレーション!$B$10,"",FV(シミュレーション!$B$14,12,-C22,-F21))</f>
        <v>9513836.98492389</v>
      </c>
      <c r="G22" s="13" t="n">
        <f aca="false">IF($A22&gt;シミュレーション!$B$10,"",F22-E22)</f>
        <v>3393836.98492389</v>
      </c>
      <c r="H22" s="13" t="n">
        <f aca="false">IF($A22&gt;シミュレーション!$B$10,"",F22-MAX(G22,0)*シミュレーション!$B$12)</f>
        <v>9513836.98492389</v>
      </c>
      <c r="I22" s="13" t="n">
        <f aca="false">IF($A22&gt;シミュレーション!$B$10,"",H22/(1+シミュレーション!$B$13)^$A22)</f>
        <v>6794426.20002692</v>
      </c>
    </row>
    <row r="23" customFormat="false" ht="15" hidden="false" customHeight="false" outlineLevel="0" collapsed="false">
      <c r="A23" s="38" t="n">
        <v>18</v>
      </c>
      <c r="B23" s="38" t="n">
        <f aca="false">IF($A23&gt;シミュレーション!$B$10,"",シミュレーション!$B$4+$A23)</f>
        <v>53</v>
      </c>
      <c r="C23" s="13" t="n">
        <f aca="false">IF($A23&gt;シミュレーション!$B$10,"",シミュレーション!$B$8*(1+シミュレーション!$B$11)^($A23-1))</f>
        <v>30000</v>
      </c>
      <c r="D23" s="13" t="n">
        <f aca="false">IF($A23&gt;シミュレーション!$B$10,"",C23*12)</f>
        <v>360000</v>
      </c>
      <c r="E23" s="13" t="n">
        <f aca="false">IF($A23&gt;シミュレーション!$B$10,"",E22+D23)</f>
        <v>6480000</v>
      </c>
      <c r="F23" s="13" t="n">
        <f aca="false">IF($A23&gt;シミュレーション!$B$10,"",FV(シミュレーション!$B$14,12,-C23,-F22))</f>
        <v>10357706.160058</v>
      </c>
      <c r="G23" s="13" t="n">
        <f aca="false">IF($A23&gt;シミュレーション!$B$10,"",F23-E23)</f>
        <v>3877706.16005801</v>
      </c>
      <c r="H23" s="13" t="n">
        <f aca="false">IF($A23&gt;シミュレーション!$B$10,"",F23-MAX(G23,0)*シミュレーション!$B$12)</f>
        <v>10357706.160058</v>
      </c>
      <c r="I23" s="13" t="n">
        <f aca="false">IF($A23&gt;シミュレーション!$B$10,"",H23/(1+シミュレーション!$B$13)^$A23)</f>
        <v>7252045.0711038</v>
      </c>
    </row>
    <row r="24" customFormat="false" ht="15" hidden="false" customHeight="false" outlineLevel="0" collapsed="false">
      <c r="A24" s="38" t="n">
        <v>19</v>
      </c>
      <c r="B24" s="38" t="n">
        <f aca="false">IF($A24&gt;シミュレーション!$B$10,"",シミュレーション!$B$4+$A24)</f>
        <v>54</v>
      </c>
      <c r="C24" s="13" t="n">
        <f aca="false">IF($A24&gt;シミュレーション!$B$10,"",シミュレーション!$B$8*(1+シミュレーション!$B$11)^($A24-1))</f>
        <v>30000</v>
      </c>
      <c r="D24" s="13" t="n">
        <f aca="false">IF($A24&gt;シミュレーション!$B$10,"",C24*12)</f>
        <v>360000</v>
      </c>
      <c r="E24" s="13" t="n">
        <f aca="false">IF($A24&gt;シミュレーション!$B$10,"",E23+D24)</f>
        <v>6840000</v>
      </c>
      <c r="F24" s="13" t="n">
        <f aca="false">IF($A24&gt;シミュレーション!$B$10,"",FV(シミュレーション!$B$14,12,-C24,-F23))</f>
        <v>11243768.7939488</v>
      </c>
      <c r="G24" s="13" t="n">
        <f aca="false">IF($A24&gt;シミュレーション!$B$10,"",F24-E24)</f>
        <v>4403768.79394884</v>
      </c>
      <c r="H24" s="13" t="n">
        <f aca="false">IF($A24&gt;シミュレーション!$B$10,"",F24-MAX(G24,0)*シミュレーション!$B$12)</f>
        <v>11243768.7939488</v>
      </c>
      <c r="I24" s="13" t="n">
        <f aca="false">IF($A24&gt;シミュレーション!$B$10,"",H24/(1+シミュレーション!$B$13)^$A24)</f>
        <v>7718068.75591098</v>
      </c>
    </row>
    <row r="25" customFormat="false" ht="15" hidden="false" customHeight="false" outlineLevel="0" collapsed="false">
      <c r="A25" s="38" t="n">
        <v>20</v>
      </c>
      <c r="B25" s="38" t="n">
        <f aca="false">IF($A25&gt;シミュレーション!$B$10,"",シミュレーション!$B$4+$A25)</f>
        <v>55</v>
      </c>
      <c r="C25" s="13" t="n">
        <f aca="false">IF($A25&gt;シミュレーション!$B$10,"",シミュレーション!$B$8*(1+シミュレーション!$B$11)^($A25-1))</f>
        <v>30000</v>
      </c>
      <c r="D25" s="13" t="n">
        <f aca="false">IF($A25&gt;シミュレーション!$B$10,"",C25*12)</f>
        <v>360000</v>
      </c>
      <c r="E25" s="13" t="n">
        <f aca="false">IF($A25&gt;シミュレーション!$B$10,"",E24+D25)</f>
        <v>7200000</v>
      </c>
      <c r="F25" s="13" t="n">
        <f aca="false">IF($A25&gt;シミュレーション!$B$10,"",FV(シミュレーション!$B$14,12,-C25,-F24))</f>
        <v>12174134.5595342</v>
      </c>
      <c r="G25" s="13" t="n">
        <f aca="false">IF($A25&gt;シミュレーション!$B$10,"",F25-E25)</f>
        <v>4974134.55953421</v>
      </c>
      <c r="H25" s="13" t="n">
        <f aca="false">IF($A25&gt;シミュレーション!$B$10,"",F25-MAX(G25,0)*シミュレーション!$B$12)</f>
        <v>12174134.5595342</v>
      </c>
      <c r="I25" s="13" t="n">
        <f aca="false">IF($A25&gt;シミュレーション!$B$10,"",H25/(1+シミュレーション!$B$13)^$A25)</f>
        <v>8192843.56396661</v>
      </c>
    </row>
    <row r="26" customFormat="false" ht="15" hidden="false" customHeight="false" outlineLevel="0" collapsed="false">
      <c r="A26" s="38" t="n">
        <v>21</v>
      </c>
      <c r="B26" s="38" t="str">
        <f aca="false">IF($A26&gt;シミュレーション!$B$10,"",シミュレーション!$B$4+$A26)</f>
        <v/>
      </c>
      <c r="C26" s="13" t="str">
        <f aca="false">IF($A26&gt;シミュレーション!$B$10,"",シミュレーション!$B$8*(1+シミュレーション!$B$11)^($A26-1))</f>
        <v/>
      </c>
      <c r="D26" s="13" t="str">
        <f aca="false">IF($A26&gt;シミュレーション!$B$10,"",C26*12)</f>
        <v/>
      </c>
      <c r="E26" s="13" t="str">
        <f aca="false">IF($A26&gt;シミュレーション!$B$10,"",E25+D26)</f>
        <v/>
      </c>
      <c r="F26" s="13" t="str">
        <f aca="false">IF($A26&gt;シミュレーション!$B$10,"",FV(シミュレーション!$B$14,12,-C26,-F25))</f>
        <v/>
      </c>
      <c r="G26" s="13" t="str">
        <f aca="false">IF($A26&gt;シミュレーション!$B$10,"",F26-E26)</f>
        <v/>
      </c>
      <c r="H26" s="13" t="str">
        <f aca="false">IF($A26&gt;シミュレーション!$B$10,"",F26-MAX(G26,0)*シミュレーション!$B$12)</f>
        <v/>
      </c>
      <c r="I26" s="13" t="str">
        <f aca="false">IF($A26&gt;シミュレーション!$B$10,"",H26/(1+シミュレーション!$B$13)^$A26)</f>
        <v/>
      </c>
    </row>
    <row r="27" customFormat="false" ht="15" hidden="false" customHeight="false" outlineLevel="0" collapsed="false">
      <c r="A27" s="38" t="n">
        <v>22</v>
      </c>
      <c r="B27" s="38" t="str">
        <f aca="false">IF($A27&gt;シミュレーション!$B$10,"",シミュレーション!$B$4+$A27)</f>
        <v/>
      </c>
      <c r="C27" s="13" t="str">
        <f aca="false">IF($A27&gt;シミュレーション!$B$10,"",シミュレーション!$B$8*(1+シミュレーション!$B$11)^($A27-1))</f>
        <v/>
      </c>
      <c r="D27" s="13" t="str">
        <f aca="false">IF($A27&gt;シミュレーション!$B$10,"",C27*12)</f>
        <v/>
      </c>
      <c r="E27" s="13" t="str">
        <f aca="false">IF($A27&gt;シミュレーション!$B$10,"",E26+D27)</f>
        <v/>
      </c>
      <c r="F27" s="13" t="str">
        <f aca="false">IF($A27&gt;シミュレーション!$B$10,"",FV(シミュレーション!$B$14,12,-C27,-F26))</f>
        <v/>
      </c>
      <c r="G27" s="13" t="str">
        <f aca="false">IF($A27&gt;シミュレーション!$B$10,"",F27-E27)</f>
        <v/>
      </c>
      <c r="H27" s="13" t="str">
        <f aca="false">IF($A27&gt;シミュレーション!$B$10,"",F27-MAX(G27,0)*シミュレーション!$B$12)</f>
        <v/>
      </c>
      <c r="I27" s="13" t="str">
        <f aca="false">IF($A27&gt;シミュレーション!$B$10,"",H27/(1+シミュレーション!$B$13)^$A27)</f>
        <v/>
      </c>
    </row>
    <row r="28" customFormat="false" ht="15" hidden="false" customHeight="false" outlineLevel="0" collapsed="false">
      <c r="A28" s="38" t="n">
        <v>23</v>
      </c>
      <c r="B28" s="38" t="str">
        <f aca="false">IF($A28&gt;シミュレーション!$B$10,"",シミュレーション!$B$4+$A28)</f>
        <v/>
      </c>
      <c r="C28" s="13" t="str">
        <f aca="false">IF($A28&gt;シミュレーション!$B$10,"",シミュレーション!$B$8*(1+シミュレーション!$B$11)^($A28-1))</f>
        <v/>
      </c>
      <c r="D28" s="13" t="str">
        <f aca="false">IF($A28&gt;シミュレーション!$B$10,"",C28*12)</f>
        <v/>
      </c>
      <c r="E28" s="13" t="str">
        <f aca="false">IF($A28&gt;シミュレーション!$B$10,"",E27+D28)</f>
        <v/>
      </c>
      <c r="F28" s="13" t="str">
        <f aca="false">IF($A28&gt;シミュレーション!$B$10,"",FV(シミュレーション!$B$14,12,-C28,-F27))</f>
        <v/>
      </c>
      <c r="G28" s="13" t="str">
        <f aca="false">IF($A28&gt;シミュレーション!$B$10,"",F28-E28)</f>
        <v/>
      </c>
      <c r="H28" s="13" t="str">
        <f aca="false">IF($A28&gt;シミュレーション!$B$10,"",F28-MAX(G28,0)*シミュレーション!$B$12)</f>
        <v/>
      </c>
      <c r="I28" s="13" t="str">
        <f aca="false">IF($A28&gt;シミュレーション!$B$10,"",H28/(1+シミュレーション!$B$13)^$A28)</f>
        <v/>
      </c>
    </row>
    <row r="29" customFormat="false" ht="15" hidden="false" customHeight="false" outlineLevel="0" collapsed="false">
      <c r="A29" s="38" t="n">
        <v>24</v>
      </c>
      <c r="B29" s="38" t="str">
        <f aca="false">IF($A29&gt;シミュレーション!$B$10,"",シミュレーション!$B$4+$A29)</f>
        <v/>
      </c>
      <c r="C29" s="13" t="str">
        <f aca="false">IF($A29&gt;シミュレーション!$B$10,"",シミュレーション!$B$8*(1+シミュレーション!$B$11)^($A29-1))</f>
        <v/>
      </c>
      <c r="D29" s="13" t="str">
        <f aca="false">IF($A29&gt;シミュレーション!$B$10,"",C29*12)</f>
        <v/>
      </c>
      <c r="E29" s="13" t="str">
        <f aca="false">IF($A29&gt;シミュレーション!$B$10,"",E28+D29)</f>
        <v/>
      </c>
      <c r="F29" s="13" t="str">
        <f aca="false">IF($A29&gt;シミュレーション!$B$10,"",FV(シミュレーション!$B$14,12,-C29,-F28))</f>
        <v/>
      </c>
      <c r="G29" s="13" t="str">
        <f aca="false">IF($A29&gt;シミュレーション!$B$10,"",F29-E29)</f>
        <v/>
      </c>
      <c r="H29" s="13" t="str">
        <f aca="false">IF($A29&gt;シミュレーション!$B$10,"",F29-MAX(G29,0)*シミュレーション!$B$12)</f>
        <v/>
      </c>
      <c r="I29" s="13" t="str">
        <f aca="false">IF($A29&gt;シミュレーション!$B$10,"",H29/(1+シミュレーション!$B$13)^$A29)</f>
        <v/>
      </c>
    </row>
    <row r="30" customFormat="false" ht="15" hidden="false" customHeight="false" outlineLevel="0" collapsed="false">
      <c r="A30" s="38" t="n">
        <v>25</v>
      </c>
      <c r="B30" s="38" t="str">
        <f aca="false">IF($A30&gt;シミュレーション!$B$10,"",シミュレーション!$B$4+$A30)</f>
        <v/>
      </c>
      <c r="C30" s="13" t="str">
        <f aca="false">IF($A30&gt;シミュレーション!$B$10,"",シミュレーション!$B$8*(1+シミュレーション!$B$11)^($A30-1))</f>
        <v/>
      </c>
      <c r="D30" s="13" t="str">
        <f aca="false">IF($A30&gt;シミュレーション!$B$10,"",C30*12)</f>
        <v/>
      </c>
      <c r="E30" s="13" t="str">
        <f aca="false">IF($A30&gt;シミュレーション!$B$10,"",E29+D30)</f>
        <v/>
      </c>
      <c r="F30" s="13" t="str">
        <f aca="false">IF($A30&gt;シミュレーション!$B$10,"",FV(シミュレーション!$B$14,12,-C30,-F29))</f>
        <v/>
      </c>
      <c r="G30" s="13" t="str">
        <f aca="false">IF($A30&gt;シミュレーション!$B$10,"",F30-E30)</f>
        <v/>
      </c>
      <c r="H30" s="13" t="str">
        <f aca="false">IF($A30&gt;シミュレーション!$B$10,"",F30-MAX(G30,0)*シミュレーション!$B$12)</f>
        <v/>
      </c>
      <c r="I30" s="13" t="str">
        <f aca="false">IF($A30&gt;シミュレーション!$B$10,"",H30/(1+シミュレーション!$B$13)^$A30)</f>
        <v/>
      </c>
    </row>
    <row r="31" customFormat="false" ht="15" hidden="false" customHeight="false" outlineLevel="0" collapsed="false">
      <c r="A31" s="38" t="n">
        <v>26</v>
      </c>
      <c r="B31" s="38" t="str">
        <f aca="false">IF($A31&gt;シミュレーション!$B$10,"",シミュレーション!$B$4+$A31)</f>
        <v/>
      </c>
      <c r="C31" s="13" t="str">
        <f aca="false">IF($A31&gt;シミュレーション!$B$10,"",シミュレーション!$B$8*(1+シミュレーション!$B$11)^($A31-1))</f>
        <v/>
      </c>
      <c r="D31" s="13" t="str">
        <f aca="false">IF($A31&gt;シミュレーション!$B$10,"",C31*12)</f>
        <v/>
      </c>
      <c r="E31" s="13" t="str">
        <f aca="false">IF($A31&gt;シミュレーション!$B$10,"",E30+D31)</f>
        <v/>
      </c>
      <c r="F31" s="13" t="str">
        <f aca="false">IF($A31&gt;シミュレーション!$B$10,"",FV(シミュレーション!$B$14,12,-C31,-F30))</f>
        <v/>
      </c>
      <c r="G31" s="13" t="str">
        <f aca="false">IF($A31&gt;シミュレーション!$B$10,"",F31-E31)</f>
        <v/>
      </c>
      <c r="H31" s="13" t="str">
        <f aca="false">IF($A31&gt;シミュレーション!$B$10,"",F31-MAX(G31,0)*シミュレーション!$B$12)</f>
        <v/>
      </c>
      <c r="I31" s="13" t="str">
        <f aca="false">IF($A31&gt;シミュレーション!$B$10,"",H31/(1+シミュレーション!$B$13)^$A31)</f>
        <v/>
      </c>
    </row>
    <row r="32" customFormat="false" ht="15" hidden="false" customHeight="false" outlineLevel="0" collapsed="false">
      <c r="A32" s="38" t="n">
        <v>27</v>
      </c>
      <c r="B32" s="38" t="str">
        <f aca="false">IF($A32&gt;シミュレーション!$B$10,"",シミュレーション!$B$4+$A32)</f>
        <v/>
      </c>
      <c r="C32" s="13" t="str">
        <f aca="false">IF($A32&gt;シミュレーション!$B$10,"",シミュレーション!$B$8*(1+シミュレーション!$B$11)^($A32-1))</f>
        <v/>
      </c>
      <c r="D32" s="13" t="str">
        <f aca="false">IF($A32&gt;シミュレーション!$B$10,"",C32*12)</f>
        <v/>
      </c>
      <c r="E32" s="13" t="str">
        <f aca="false">IF($A32&gt;シミュレーション!$B$10,"",E31+D32)</f>
        <v/>
      </c>
      <c r="F32" s="13" t="str">
        <f aca="false">IF($A32&gt;シミュレーション!$B$10,"",FV(シミュレーション!$B$14,12,-C32,-F31))</f>
        <v/>
      </c>
      <c r="G32" s="13" t="str">
        <f aca="false">IF($A32&gt;シミュレーション!$B$10,"",F32-E32)</f>
        <v/>
      </c>
      <c r="H32" s="13" t="str">
        <f aca="false">IF($A32&gt;シミュレーション!$B$10,"",F32-MAX(G32,0)*シミュレーション!$B$12)</f>
        <v/>
      </c>
      <c r="I32" s="13" t="str">
        <f aca="false">IF($A32&gt;シミュレーション!$B$10,"",H32/(1+シミュレーション!$B$13)^$A32)</f>
        <v/>
      </c>
    </row>
    <row r="33" customFormat="false" ht="15" hidden="false" customHeight="false" outlineLevel="0" collapsed="false">
      <c r="A33" s="38" t="n">
        <v>28</v>
      </c>
      <c r="B33" s="38" t="str">
        <f aca="false">IF($A33&gt;シミュレーション!$B$10,"",シミュレーション!$B$4+$A33)</f>
        <v/>
      </c>
      <c r="C33" s="13" t="str">
        <f aca="false">IF($A33&gt;シミュレーション!$B$10,"",シミュレーション!$B$8*(1+シミュレーション!$B$11)^($A33-1))</f>
        <v/>
      </c>
      <c r="D33" s="13" t="str">
        <f aca="false">IF($A33&gt;シミュレーション!$B$10,"",C33*12)</f>
        <v/>
      </c>
      <c r="E33" s="13" t="str">
        <f aca="false">IF($A33&gt;シミュレーション!$B$10,"",E32+D33)</f>
        <v/>
      </c>
      <c r="F33" s="13" t="str">
        <f aca="false">IF($A33&gt;シミュレーション!$B$10,"",FV(シミュレーション!$B$14,12,-C33,-F32))</f>
        <v/>
      </c>
      <c r="G33" s="13" t="str">
        <f aca="false">IF($A33&gt;シミュレーション!$B$10,"",F33-E33)</f>
        <v/>
      </c>
      <c r="H33" s="13" t="str">
        <f aca="false">IF($A33&gt;シミュレーション!$B$10,"",F33-MAX(G33,0)*シミュレーション!$B$12)</f>
        <v/>
      </c>
      <c r="I33" s="13" t="str">
        <f aca="false">IF($A33&gt;シミュレーション!$B$10,"",H33/(1+シミュレーション!$B$13)^$A33)</f>
        <v/>
      </c>
    </row>
    <row r="34" customFormat="false" ht="15" hidden="false" customHeight="false" outlineLevel="0" collapsed="false">
      <c r="A34" s="38" t="n">
        <v>29</v>
      </c>
      <c r="B34" s="38" t="str">
        <f aca="false">IF($A34&gt;シミュレーション!$B$10,"",シミュレーション!$B$4+$A34)</f>
        <v/>
      </c>
      <c r="C34" s="13" t="str">
        <f aca="false">IF($A34&gt;シミュレーション!$B$10,"",シミュレーション!$B$8*(1+シミュレーション!$B$11)^($A34-1))</f>
        <v/>
      </c>
      <c r="D34" s="13" t="str">
        <f aca="false">IF($A34&gt;シミュレーション!$B$10,"",C34*12)</f>
        <v/>
      </c>
      <c r="E34" s="13" t="str">
        <f aca="false">IF($A34&gt;シミュレーション!$B$10,"",E33+D34)</f>
        <v/>
      </c>
      <c r="F34" s="13" t="str">
        <f aca="false">IF($A34&gt;シミュレーション!$B$10,"",FV(シミュレーション!$B$14,12,-C34,-F33))</f>
        <v/>
      </c>
      <c r="G34" s="13" t="str">
        <f aca="false">IF($A34&gt;シミュレーション!$B$10,"",F34-E34)</f>
        <v/>
      </c>
      <c r="H34" s="13" t="str">
        <f aca="false">IF($A34&gt;シミュレーション!$B$10,"",F34-MAX(G34,0)*シミュレーション!$B$12)</f>
        <v/>
      </c>
      <c r="I34" s="13" t="str">
        <f aca="false">IF($A34&gt;シミュレーション!$B$10,"",H34/(1+シミュレーション!$B$13)^$A34)</f>
        <v/>
      </c>
    </row>
    <row r="35" customFormat="false" ht="15" hidden="false" customHeight="false" outlineLevel="0" collapsed="false">
      <c r="A35" s="38" t="n">
        <v>30</v>
      </c>
      <c r="B35" s="38" t="str">
        <f aca="false">IF($A35&gt;シミュレーション!$B$10,"",シミュレーション!$B$4+$A35)</f>
        <v/>
      </c>
      <c r="C35" s="13" t="str">
        <f aca="false">IF($A35&gt;シミュレーション!$B$10,"",シミュレーション!$B$8*(1+シミュレーション!$B$11)^($A35-1))</f>
        <v/>
      </c>
      <c r="D35" s="13" t="str">
        <f aca="false">IF($A35&gt;シミュレーション!$B$10,"",C35*12)</f>
        <v/>
      </c>
      <c r="E35" s="13" t="str">
        <f aca="false">IF($A35&gt;シミュレーション!$B$10,"",E34+D35)</f>
        <v/>
      </c>
      <c r="F35" s="13" t="str">
        <f aca="false">IF($A35&gt;シミュレーション!$B$10,"",FV(シミュレーション!$B$14,12,-C35,-F34))</f>
        <v/>
      </c>
      <c r="G35" s="13" t="str">
        <f aca="false">IF($A35&gt;シミュレーション!$B$10,"",F35-E35)</f>
        <v/>
      </c>
      <c r="H35" s="13" t="str">
        <f aca="false">IF($A35&gt;シミュレーション!$B$10,"",F35-MAX(G35,0)*シミュレーション!$B$12)</f>
        <v/>
      </c>
      <c r="I35" s="13" t="str">
        <f aca="false">IF($A35&gt;シミュレーション!$B$10,"",H35/(1+シミュレーション!$B$13)^$A35)</f>
        <v/>
      </c>
    </row>
    <row r="36" customFormat="false" ht="15" hidden="false" customHeight="false" outlineLevel="0" collapsed="false">
      <c r="A36" s="38" t="n">
        <v>31</v>
      </c>
      <c r="B36" s="38" t="str">
        <f aca="false">IF($A36&gt;シミュレーション!$B$10,"",シミュレーション!$B$4+$A36)</f>
        <v/>
      </c>
      <c r="C36" s="13" t="str">
        <f aca="false">IF($A36&gt;シミュレーション!$B$10,"",シミュレーション!$B$8*(1+シミュレーション!$B$11)^($A36-1))</f>
        <v/>
      </c>
      <c r="D36" s="13" t="str">
        <f aca="false">IF($A36&gt;シミュレーション!$B$10,"",C36*12)</f>
        <v/>
      </c>
      <c r="E36" s="13" t="str">
        <f aca="false">IF($A36&gt;シミュレーション!$B$10,"",E35+D36)</f>
        <v/>
      </c>
      <c r="F36" s="13" t="str">
        <f aca="false">IF($A36&gt;シミュレーション!$B$10,"",FV(シミュレーション!$B$14,12,-C36,-F35))</f>
        <v/>
      </c>
      <c r="G36" s="13" t="str">
        <f aca="false">IF($A36&gt;シミュレーション!$B$10,"",F36-E36)</f>
        <v/>
      </c>
      <c r="H36" s="13" t="str">
        <f aca="false">IF($A36&gt;シミュレーション!$B$10,"",F36-MAX(G36,0)*シミュレーション!$B$12)</f>
        <v/>
      </c>
      <c r="I36" s="13" t="str">
        <f aca="false">IF($A36&gt;シミュレーション!$B$10,"",H36/(1+シミュレーション!$B$13)^$A36)</f>
        <v/>
      </c>
    </row>
    <row r="37" customFormat="false" ht="15" hidden="false" customHeight="false" outlineLevel="0" collapsed="false">
      <c r="A37" s="38" t="n">
        <v>32</v>
      </c>
      <c r="B37" s="38" t="str">
        <f aca="false">IF($A37&gt;シミュレーション!$B$10,"",シミュレーション!$B$4+$A37)</f>
        <v/>
      </c>
      <c r="C37" s="13" t="str">
        <f aca="false">IF($A37&gt;シミュレーション!$B$10,"",シミュレーション!$B$8*(1+シミュレーション!$B$11)^($A37-1))</f>
        <v/>
      </c>
      <c r="D37" s="13" t="str">
        <f aca="false">IF($A37&gt;シミュレーション!$B$10,"",C37*12)</f>
        <v/>
      </c>
      <c r="E37" s="13" t="str">
        <f aca="false">IF($A37&gt;シミュレーション!$B$10,"",E36+D37)</f>
        <v/>
      </c>
      <c r="F37" s="13" t="str">
        <f aca="false">IF($A37&gt;シミュレーション!$B$10,"",FV(シミュレーション!$B$14,12,-C37,-F36))</f>
        <v/>
      </c>
      <c r="G37" s="13" t="str">
        <f aca="false">IF($A37&gt;シミュレーション!$B$10,"",F37-E37)</f>
        <v/>
      </c>
      <c r="H37" s="13" t="str">
        <f aca="false">IF($A37&gt;シミュレーション!$B$10,"",F37-MAX(G37,0)*シミュレーション!$B$12)</f>
        <v/>
      </c>
      <c r="I37" s="13" t="str">
        <f aca="false">IF($A37&gt;シミュレーション!$B$10,"",H37/(1+シミュレーション!$B$13)^$A37)</f>
        <v/>
      </c>
    </row>
    <row r="38" customFormat="false" ht="15" hidden="false" customHeight="false" outlineLevel="0" collapsed="false">
      <c r="A38" s="38" t="n">
        <v>33</v>
      </c>
      <c r="B38" s="38" t="str">
        <f aca="false">IF($A38&gt;シミュレーション!$B$10,"",シミュレーション!$B$4+$A38)</f>
        <v/>
      </c>
      <c r="C38" s="13" t="str">
        <f aca="false">IF($A38&gt;シミュレーション!$B$10,"",シミュレーション!$B$8*(1+シミュレーション!$B$11)^($A38-1))</f>
        <v/>
      </c>
      <c r="D38" s="13" t="str">
        <f aca="false">IF($A38&gt;シミュレーション!$B$10,"",C38*12)</f>
        <v/>
      </c>
      <c r="E38" s="13" t="str">
        <f aca="false">IF($A38&gt;シミュレーション!$B$10,"",E37+D38)</f>
        <v/>
      </c>
      <c r="F38" s="13" t="str">
        <f aca="false">IF($A38&gt;シミュレーション!$B$10,"",FV(シミュレーション!$B$14,12,-C38,-F37))</f>
        <v/>
      </c>
      <c r="G38" s="13" t="str">
        <f aca="false">IF($A38&gt;シミュレーション!$B$10,"",F38-E38)</f>
        <v/>
      </c>
      <c r="H38" s="13" t="str">
        <f aca="false">IF($A38&gt;シミュレーション!$B$10,"",F38-MAX(G38,0)*シミュレーション!$B$12)</f>
        <v/>
      </c>
      <c r="I38" s="13" t="str">
        <f aca="false">IF($A38&gt;シミュレーション!$B$10,"",H38/(1+シミュレーション!$B$13)^$A38)</f>
        <v/>
      </c>
    </row>
    <row r="39" customFormat="false" ht="15" hidden="false" customHeight="false" outlineLevel="0" collapsed="false">
      <c r="A39" s="38" t="n">
        <v>34</v>
      </c>
      <c r="B39" s="38" t="str">
        <f aca="false">IF($A39&gt;シミュレーション!$B$10,"",シミュレーション!$B$4+$A39)</f>
        <v/>
      </c>
      <c r="C39" s="13" t="str">
        <f aca="false">IF($A39&gt;シミュレーション!$B$10,"",シミュレーション!$B$8*(1+シミュレーション!$B$11)^($A39-1))</f>
        <v/>
      </c>
      <c r="D39" s="13" t="str">
        <f aca="false">IF($A39&gt;シミュレーション!$B$10,"",C39*12)</f>
        <v/>
      </c>
      <c r="E39" s="13" t="str">
        <f aca="false">IF($A39&gt;シミュレーション!$B$10,"",E38+D39)</f>
        <v/>
      </c>
      <c r="F39" s="13" t="str">
        <f aca="false">IF($A39&gt;シミュレーション!$B$10,"",FV(シミュレーション!$B$14,12,-C39,-F38))</f>
        <v/>
      </c>
      <c r="G39" s="13" t="str">
        <f aca="false">IF($A39&gt;シミュレーション!$B$10,"",F39-E39)</f>
        <v/>
      </c>
      <c r="H39" s="13" t="str">
        <f aca="false">IF($A39&gt;シミュレーション!$B$10,"",F39-MAX(G39,0)*シミュレーション!$B$12)</f>
        <v/>
      </c>
      <c r="I39" s="13" t="str">
        <f aca="false">IF($A39&gt;シミュレーション!$B$10,"",H39/(1+シミュレーション!$B$13)^$A39)</f>
        <v/>
      </c>
    </row>
    <row r="40" customFormat="false" ht="15" hidden="false" customHeight="false" outlineLevel="0" collapsed="false">
      <c r="A40" s="38" t="n">
        <v>35</v>
      </c>
      <c r="B40" s="38" t="str">
        <f aca="false">IF($A40&gt;シミュレーション!$B$10,"",シミュレーション!$B$4+$A40)</f>
        <v/>
      </c>
      <c r="C40" s="13" t="str">
        <f aca="false">IF($A40&gt;シミュレーション!$B$10,"",シミュレーション!$B$8*(1+シミュレーション!$B$11)^($A40-1))</f>
        <v/>
      </c>
      <c r="D40" s="13" t="str">
        <f aca="false">IF($A40&gt;シミュレーション!$B$10,"",C40*12)</f>
        <v/>
      </c>
      <c r="E40" s="13" t="str">
        <f aca="false">IF($A40&gt;シミュレーション!$B$10,"",E39+D40)</f>
        <v/>
      </c>
      <c r="F40" s="13" t="str">
        <f aca="false">IF($A40&gt;シミュレーション!$B$10,"",FV(シミュレーション!$B$14,12,-C40,-F39))</f>
        <v/>
      </c>
      <c r="G40" s="13" t="str">
        <f aca="false">IF($A40&gt;シミュレーション!$B$10,"",F40-E40)</f>
        <v/>
      </c>
      <c r="H40" s="13" t="str">
        <f aca="false">IF($A40&gt;シミュレーション!$B$10,"",F40-MAX(G40,0)*シミュレーション!$B$12)</f>
        <v/>
      </c>
      <c r="I40" s="13" t="str">
        <f aca="false">IF($A40&gt;シミュレーション!$B$10,"",H40/(1+シミュレーション!$B$13)^$A40)</f>
        <v/>
      </c>
    </row>
    <row r="41" customFormat="false" ht="15" hidden="false" customHeight="false" outlineLevel="0" collapsed="false">
      <c r="A41" s="38" t="n">
        <v>36</v>
      </c>
      <c r="B41" s="38" t="str">
        <f aca="false">IF($A41&gt;シミュレーション!$B$10,"",シミュレーション!$B$4+$A41)</f>
        <v/>
      </c>
      <c r="C41" s="13" t="str">
        <f aca="false">IF($A41&gt;シミュレーション!$B$10,"",シミュレーション!$B$8*(1+シミュレーション!$B$11)^($A41-1))</f>
        <v/>
      </c>
      <c r="D41" s="13" t="str">
        <f aca="false">IF($A41&gt;シミュレーション!$B$10,"",C41*12)</f>
        <v/>
      </c>
      <c r="E41" s="13" t="str">
        <f aca="false">IF($A41&gt;シミュレーション!$B$10,"",E40+D41)</f>
        <v/>
      </c>
      <c r="F41" s="13" t="str">
        <f aca="false">IF($A41&gt;シミュレーション!$B$10,"",FV(シミュレーション!$B$14,12,-C41,-F40))</f>
        <v/>
      </c>
      <c r="G41" s="13" t="str">
        <f aca="false">IF($A41&gt;シミュレーション!$B$10,"",F41-E41)</f>
        <v/>
      </c>
      <c r="H41" s="13" t="str">
        <f aca="false">IF($A41&gt;シミュレーション!$B$10,"",F41-MAX(G41,0)*シミュレーション!$B$12)</f>
        <v/>
      </c>
      <c r="I41" s="13" t="str">
        <f aca="false">IF($A41&gt;シミュレーション!$B$10,"",H41/(1+シミュレーション!$B$13)^$A41)</f>
        <v/>
      </c>
    </row>
    <row r="42" customFormat="false" ht="15" hidden="false" customHeight="false" outlineLevel="0" collapsed="false">
      <c r="A42" s="38" t="n">
        <v>37</v>
      </c>
      <c r="B42" s="38" t="str">
        <f aca="false">IF($A42&gt;シミュレーション!$B$10,"",シミュレーション!$B$4+$A42)</f>
        <v/>
      </c>
      <c r="C42" s="13" t="str">
        <f aca="false">IF($A42&gt;シミュレーション!$B$10,"",シミュレーション!$B$8*(1+シミュレーション!$B$11)^($A42-1))</f>
        <v/>
      </c>
      <c r="D42" s="13" t="str">
        <f aca="false">IF($A42&gt;シミュレーション!$B$10,"",C42*12)</f>
        <v/>
      </c>
      <c r="E42" s="13" t="str">
        <f aca="false">IF($A42&gt;シミュレーション!$B$10,"",E41+D42)</f>
        <v/>
      </c>
      <c r="F42" s="13" t="str">
        <f aca="false">IF($A42&gt;シミュレーション!$B$10,"",FV(シミュレーション!$B$14,12,-C42,-F41))</f>
        <v/>
      </c>
      <c r="G42" s="13" t="str">
        <f aca="false">IF($A42&gt;シミュレーション!$B$10,"",F42-E42)</f>
        <v/>
      </c>
      <c r="H42" s="13" t="str">
        <f aca="false">IF($A42&gt;シミュレーション!$B$10,"",F42-MAX(G42,0)*シミュレーション!$B$12)</f>
        <v/>
      </c>
      <c r="I42" s="13" t="str">
        <f aca="false">IF($A42&gt;シミュレーション!$B$10,"",H42/(1+シミュレーション!$B$13)^$A42)</f>
        <v/>
      </c>
    </row>
    <row r="43" customFormat="false" ht="15" hidden="false" customHeight="false" outlineLevel="0" collapsed="false">
      <c r="A43" s="38" t="n">
        <v>38</v>
      </c>
      <c r="B43" s="38" t="str">
        <f aca="false">IF($A43&gt;シミュレーション!$B$10,"",シミュレーション!$B$4+$A43)</f>
        <v/>
      </c>
      <c r="C43" s="13" t="str">
        <f aca="false">IF($A43&gt;シミュレーション!$B$10,"",シミュレーション!$B$8*(1+シミュレーション!$B$11)^($A43-1))</f>
        <v/>
      </c>
      <c r="D43" s="13" t="str">
        <f aca="false">IF($A43&gt;シミュレーション!$B$10,"",C43*12)</f>
        <v/>
      </c>
      <c r="E43" s="13" t="str">
        <f aca="false">IF($A43&gt;シミュレーション!$B$10,"",E42+D43)</f>
        <v/>
      </c>
      <c r="F43" s="13" t="str">
        <f aca="false">IF($A43&gt;シミュレーション!$B$10,"",FV(シミュレーション!$B$14,12,-C43,-F42))</f>
        <v/>
      </c>
      <c r="G43" s="13" t="str">
        <f aca="false">IF($A43&gt;シミュレーション!$B$10,"",F43-E43)</f>
        <v/>
      </c>
      <c r="H43" s="13" t="str">
        <f aca="false">IF($A43&gt;シミュレーション!$B$10,"",F43-MAX(G43,0)*シミュレーション!$B$12)</f>
        <v/>
      </c>
      <c r="I43" s="13" t="str">
        <f aca="false">IF($A43&gt;シミュレーション!$B$10,"",H43/(1+シミュレーション!$B$13)^$A43)</f>
        <v/>
      </c>
    </row>
    <row r="44" customFormat="false" ht="15" hidden="false" customHeight="false" outlineLevel="0" collapsed="false">
      <c r="A44" s="38" t="n">
        <v>39</v>
      </c>
      <c r="B44" s="38" t="str">
        <f aca="false">IF($A44&gt;シミュレーション!$B$10,"",シミュレーション!$B$4+$A44)</f>
        <v/>
      </c>
      <c r="C44" s="13" t="str">
        <f aca="false">IF($A44&gt;シミュレーション!$B$10,"",シミュレーション!$B$8*(1+シミュレーション!$B$11)^($A44-1))</f>
        <v/>
      </c>
      <c r="D44" s="13" t="str">
        <f aca="false">IF($A44&gt;シミュレーション!$B$10,"",C44*12)</f>
        <v/>
      </c>
      <c r="E44" s="13" t="str">
        <f aca="false">IF($A44&gt;シミュレーション!$B$10,"",E43+D44)</f>
        <v/>
      </c>
      <c r="F44" s="13" t="str">
        <f aca="false">IF($A44&gt;シミュレーション!$B$10,"",FV(シミュレーション!$B$14,12,-C44,-F43))</f>
        <v/>
      </c>
      <c r="G44" s="13" t="str">
        <f aca="false">IF($A44&gt;シミュレーション!$B$10,"",F44-E44)</f>
        <v/>
      </c>
      <c r="H44" s="13" t="str">
        <f aca="false">IF($A44&gt;シミュレーション!$B$10,"",F44-MAX(G44,0)*シミュレーション!$B$12)</f>
        <v/>
      </c>
      <c r="I44" s="13" t="str">
        <f aca="false">IF($A44&gt;シミュレーション!$B$10,"",H44/(1+シミュレーション!$B$13)^$A44)</f>
        <v/>
      </c>
    </row>
    <row r="45" customFormat="false" ht="15" hidden="false" customHeight="false" outlineLevel="0" collapsed="false">
      <c r="A45" s="38" t="n">
        <v>40</v>
      </c>
      <c r="B45" s="38" t="str">
        <f aca="false">IF($A45&gt;シミュレーション!$B$10,"",シミュレーション!$B$4+$A45)</f>
        <v/>
      </c>
      <c r="C45" s="13" t="str">
        <f aca="false">IF($A45&gt;シミュレーション!$B$10,"",シミュレーション!$B$8*(1+シミュレーション!$B$11)^($A45-1))</f>
        <v/>
      </c>
      <c r="D45" s="13" t="str">
        <f aca="false">IF($A45&gt;シミュレーション!$B$10,"",C45*12)</f>
        <v/>
      </c>
      <c r="E45" s="13" t="str">
        <f aca="false">IF($A45&gt;シミュレーション!$B$10,"",E44+D45)</f>
        <v/>
      </c>
      <c r="F45" s="13" t="str">
        <f aca="false">IF($A45&gt;シミュレーション!$B$10,"",FV(シミュレーション!$B$14,12,-C45,-F44))</f>
        <v/>
      </c>
      <c r="G45" s="13" t="str">
        <f aca="false">IF($A45&gt;シミュレーション!$B$10,"",F45-E45)</f>
        <v/>
      </c>
      <c r="H45" s="13" t="str">
        <f aca="false">IF($A45&gt;シミュレーション!$B$10,"",F45-MAX(G45,0)*シミュレーション!$B$12)</f>
        <v/>
      </c>
      <c r="I45" s="13" t="str">
        <f aca="false">IF($A45&gt;シミュレーション!$B$10,"",H45/(1+シミュレーション!$B$13)^$A45)</f>
        <v/>
      </c>
    </row>
    <row r="46" customFormat="false" ht="15" hidden="false" customHeight="false" outlineLevel="0" collapsed="false">
      <c r="A46" s="38" t="n">
        <v>41</v>
      </c>
      <c r="B46" s="38" t="str">
        <f aca="false">IF($A46&gt;シミュレーション!$B$10,"",シミュレーション!$B$4+$A46)</f>
        <v/>
      </c>
      <c r="C46" s="13" t="str">
        <f aca="false">IF($A46&gt;シミュレーション!$B$10,"",シミュレーション!$B$8*(1+シミュレーション!$B$11)^($A46-1))</f>
        <v/>
      </c>
      <c r="D46" s="13" t="str">
        <f aca="false">IF($A46&gt;シミュレーション!$B$10,"",C46*12)</f>
        <v/>
      </c>
      <c r="E46" s="13" t="str">
        <f aca="false">IF($A46&gt;シミュレーション!$B$10,"",E45+D46)</f>
        <v/>
      </c>
      <c r="F46" s="13" t="str">
        <f aca="false">IF($A46&gt;シミュレーション!$B$10,"",FV(シミュレーション!$B$14,12,-C46,-F45))</f>
        <v/>
      </c>
      <c r="G46" s="13" t="str">
        <f aca="false">IF($A46&gt;シミュレーション!$B$10,"",F46-E46)</f>
        <v/>
      </c>
      <c r="H46" s="13" t="str">
        <f aca="false">IF($A46&gt;シミュレーション!$B$10,"",F46-MAX(G46,0)*シミュレーション!$B$12)</f>
        <v/>
      </c>
      <c r="I46" s="13" t="str">
        <f aca="false">IF($A46&gt;シミュレーション!$B$10,"",H46/(1+シミュレーション!$B$13)^$A46)</f>
        <v/>
      </c>
    </row>
    <row r="47" customFormat="false" ht="15" hidden="false" customHeight="false" outlineLevel="0" collapsed="false">
      <c r="A47" s="38" t="n">
        <v>42</v>
      </c>
      <c r="B47" s="38" t="str">
        <f aca="false">IF($A47&gt;シミュレーション!$B$10,"",シミュレーション!$B$4+$A47)</f>
        <v/>
      </c>
      <c r="C47" s="13" t="str">
        <f aca="false">IF($A47&gt;シミュレーション!$B$10,"",シミュレーション!$B$8*(1+シミュレーション!$B$11)^($A47-1))</f>
        <v/>
      </c>
      <c r="D47" s="13" t="str">
        <f aca="false">IF($A47&gt;シミュレーション!$B$10,"",C47*12)</f>
        <v/>
      </c>
      <c r="E47" s="13" t="str">
        <f aca="false">IF($A47&gt;シミュレーション!$B$10,"",E46+D47)</f>
        <v/>
      </c>
      <c r="F47" s="13" t="str">
        <f aca="false">IF($A47&gt;シミュレーション!$B$10,"",FV(シミュレーション!$B$14,12,-C47,-F46))</f>
        <v/>
      </c>
      <c r="G47" s="13" t="str">
        <f aca="false">IF($A47&gt;シミュレーション!$B$10,"",F47-E47)</f>
        <v/>
      </c>
      <c r="H47" s="13" t="str">
        <f aca="false">IF($A47&gt;シミュレーション!$B$10,"",F47-MAX(G47,0)*シミュレーション!$B$12)</f>
        <v/>
      </c>
      <c r="I47" s="13" t="str">
        <f aca="false">IF($A47&gt;シミュレーション!$B$10,"",H47/(1+シミュレーション!$B$13)^$A47)</f>
        <v/>
      </c>
    </row>
    <row r="48" customFormat="false" ht="15" hidden="false" customHeight="false" outlineLevel="0" collapsed="false">
      <c r="A48" s="38" t="n">
        <v>43</v>
      </c>
      <c r="B48" s="38" t="str">
        <f aca="false">IF($A48&gt;シミュレーション!$B$10,"",シミュレーション!$B$4+$A48)</f>
        <v/>
      </c>
      <c r="C48" s="13" t="str">
        <f aca="false">IF($A48&gt;シミュレーション!$B$10,"",シミュレーション!$B$8*(1+シミュレーション!$B$11)^($A48-1))</f>
        <v/>
      </c>
      <c r="D48" s="13" t="str">
        <f aca="false">IF($A48&gt;シミュレーション!$B$10,"",C48*12)</f>
        <v/>
      </c>
      <c r="E48" s="13" t="str">
        <f aca="false">IF($A48&gt;シミュレーション!$B$10,"",E47+D48)</f>
        <v/>
      </c>
      <c r="F48" s="13" t="str">
        <f aca="false">IF($A48&gt;シミュレーション!$B$10,"",FV(シミュレーション!$B$14,12,-C48,-F47))</f>
        <v/>
      </c>
      <c r="G48" s="13" t="str">
        <f aca="false">IF($A48&gt;シミュレーション!$B$10,"",F48-E48)</f>
        <v/>
      </c>
      <c r="H48" s="13" t="str">
        <f aca="false">IF($A48&gt;シミュレーション!$B$10,"",F48-MAX(G48,0)*シミュレーション!$B$12)</f>
        <v/>
      </c>
      <c r="I48" s="13" t="str">
        <f aca="false">IF($A48&gt;シミュレーション!$B$10,"",H48/(1+シミュレーション!$B$13)^$A48)</f>
        <v/>
      </c>
    </row>
    <row r="49" customFormat="false" ht="15" hidden="false" customHeight="false" outlineLevel="0" collapsed="false">
      <c r="A49" s="38" t="n">
        <v>44</v>
      </c>
      <c r="B49" s="38" t="str">
        <f aca="false">IF($A49&gt;シミュレーション!$B$10,"",シミュレーション!$B$4+$A49)</f>
        <v/>
      </c>
      <c r="C49" s="13" t="str">
        <f aca="false">IF($A49&gt;シミュレーション!$B$10,"",シミュレーション!$B$8*(1+シミュレーション!$B$11)^($A49-1))</f>
        <v/>
      </c>
      <c r="D49" s="13" t="str">
        <f aca="false">IF($A49&gt;シミュレーション!$B$10,"",C49*12)</f>
        <v/>
      </c>
      <c r="E49" s="13" t="str">
        <f aca="false">IF($A49&gt;シミュレーション!$B$10,"",E48+D49)</f>
        <v/>
      </c>
      <c r="F49" s="13" t="str">
        <f aca="false">IF($A49&gt;シミュレーション!$B$10,"",FV(シミュレーション!$B$14,12,-C49,-F48))</f>
        <v/>
      </c>
      <c r="G49" s="13" t="str">
        <f aca="false">IF($A49&gt;シミュレーション!$B$10,"",F49-E49)</f>
        <v/>
      </c>
      <c r="H49" s="13" t="str">
        <f aca="false">IF($A49&gt;シミュレーション!$B$10,"",F49-MAX(G49,0)*シミュレーション!$B$12)</f>
        <v/>
      </c>
      <c r="I49" s="13" t="str">
        <f aca="false">IF($A49&gt;シミュレーション!$B$10,"",H49/(1+シミュレーション!$B$13)^$A49)</f>
        <v/>
      </c>
    </row>
    <row r="50" customFormat="false" ht="15" hidden="false" customHeight="false" outlineLevel="0" collapsed="false">
      <c r="A50" s="38" t="n">
        <v>45</v>
      </c>
      <c r="B50" s="38" t="str">
        <f aca="false">IF($A50&gt;シミュレーション!$B$10,"",シミュレーション!$B$4+$A50)</f>
        <v/>
      </c>
      <c r="C50" s="13" t="str">
        <f aca="false">IF($A50&gt;シミュレーション!$B$10,"",シミュレーション!$B$8*(1+シミュレーション!$B$11)^($A50-1))</f>
        <v/>
      </c>
      <c r="D50" s="13" t="str">
        <f aca="false">IF($A50&gt;シミュレーション!$B$10,"",C50*12)</f>
        <v/>
      </c>
      <c r="E50" s="13" t="str">
        <f aca="false">IF($A50&gt;シミュレーション!$B$10,"",E49+D50)</f>
        <v/>
      </c>
      <c r="F50" s="13" t="str">
        <f aca="false">IF($A50&gt;シミュレーション!$B$10,"",FV(シミュレーション!$B$14,12,-C50,-F49))</f>
        <v/>
      </c>
      <c r="G50" s="13" t="str">
        <f aca="false">IF($A50&gt;シミュレーション!$B$10,"",F50-E50)</f>
        <v/>
      </c>
      <c r="H50" s="13" t="str">
        <f aca="false">IF($A50&gt;シミュレーション!$B$10,"",F50-MAX(G50,0)*シミュレーション!$B$12)</f>
        <v/>
      </c>
      <c r="I50" s="13" t="str">
        <f aca="false">IF($A50&gt;シミュレーション!$B$10,"",H50/(1+シミュレーション!$B$13)^$A50)</f>
        <v/>
      </c>
    </row>
    <row r="51" customFormat="false" ht="15" hidden="false" customHeight="false" outlineLevel="0" collapsed="false">
      <c r="A51" s="38" t="n">
        <v>46</v>
      </c>
      <c r="B51" s="38" t="str">
        <f aca="false">IF($A51&gt;シミュレーション!$B$10,"",シミュレーション!$B$4+$A51)</f>
        <v/>
      </c>
      <c r="C51" s="13" t="str">
        <f aca="false">IF($A51&gt;シミュレーション!$B$10,"",シミュレーション!$B$8*(1+シミュレーション!$B$11)^($A51-1))</f>
        <v/>
      </c>
      <c r="D51" s="13" t="str">
        <f aca="false">IF($A51&gt;シミュレーション!$B$10,"",C51*12)</f>
        <v/>
      </c>
      <c r="E51" s="13" t="str">
        <f aca="false">IF($A51&gt;シミュレーション!$B$10,"",E50+D51)</f>
        <v/>
      </c>
      <c r="F51" s="13" t="str">
        <f aca="false">IF($A51&gt;シミュレーション!$B$10,"",FV(シミュレーション!$B$14,12,-C51,-F50))</f>
        <v/>
      </c>
      <c r="G51" s="13" t="str">
        <f aca="false">IF($A51&gt;シミュレーション!$B$10,"",F51-E51)</f>
        <v/>
      </c>
      <c r="H51" s="13" t="str">
        <f aca="false">IF($A51&gt;シミュレーション!$B$10,"",F51-MAX(G51,0)*シミュレーション!$B$12)</f>
        <v/>
      </c>
      <c r="I51" s="13" t="str">
        <f aca="false">IF($A51&gt;シミュレーション!$B$10,"",H51/(1+シミュレーション!$B$13)^$A51)</f>
        <v/>
      </c>
    </row>
    <row r="52" customFormat="false" ht="15" hidden="false" customHeight="false" outlineLevel="0" collapsed="false">
      <c r="A52" s="38" t="n">
        <v>47</v>
      </c>
      <c r="B52" s="38" t="str">
        <f aca="false">IF($A52&gt;シミュレーション!$B$10,"",シミュレーション!$B$4+$A52)</f>
        <v/>
      </c>
      <c r="C52" s="13" t="str">
        <f aca="false">IF($A52&gt;シミュレーション!$B$10,"",シミュレーション!$B$8*(1+シミュレーション!$B$11)^($A52-1))</f>
        <v/>
      </c>
      <c r="D52" s="13" t="str">
        <f aca="false">IF($A52&gt;シミュレーション!$B$10,"",C52*12)</f>
        <v/>
      </c>
      <c r="E52" s="13" t="str">
        <f aca="false">IF($A52&gt;シミュレーション!$B$10,"",E51+D52)</f>
        <v/>
      </c>
      <c r="F52" s="13" t="str">
        <f aca="false">IF($A52&gt;シミュレーション!$B$10,"",FV(シミュレーション!$B$14,12,-C52,-F51))</f>
        <v/>
      </c>
      <c r="G52" s="13" t="str">
        <f aca="false">IF($A52&gt;シミュレーション!$B$10,"",F52-E52)</f>
        <v/>
      </c>
      <c r="H52" s="13" t="str">
        <f aca="false">IF($A52&gt;シミュレーション!$B$10,"",F52-MAX(G52,0)*シミュレーション!$B$12)</f>
        <v/>
      </c>
      <c r="I52" s="13" t="str">
        <f aca="false">IF($A52&gt;シミュレーション!$B$10,"",H52/(1+シミュレーション!$B$13)^$A52)</f>
        <v/>
      </c>
    </row>
    <row r="53" customFormat="false" ht="15" hidden="false" customHeight="false" outlineLevel="0" collapsed="false">
      <c r="A53" s="38" t="n">
        <v>48</v>
      </c>
      <c r="B53" s="38" t="str">
        <f aca="false">IF($A53&gt;シミュレーション!$B$10,"",シミュレーション!$B$4+$A53)</f>
        <v/>
      </c>
      <c r="C53" s="13" t="str">
        <f aca="false">IF($A53&gt;シミュレーション!$B$10,"",シミュレーション!$B$8*(1+シミュレーション!$B$11)^($A53-1))</f>
        <v/>
      </c>
      <c r="D53" s="13" t="str">
        <f aca="false">IF($A53&gt;シミュレーション!$B$10,"",C53*12)</f>
        <v/>
      </c>
      <c r="E53" s="13" t="str">
        <f aca="false">IF($A53&gt;シミュレーション!$B$10,"",E52+D53)</f>
        <v/>
      </c>
      <c r="F53" s="13" t="str">
        <f aca="false">IF($A53&gt;シミュレーション!$B$10,"",FV(シミュレーション!$B$14,12,-C53,-F52))</f>
        <v/>
      </c>
      <c r="G53" s="13" t="str">
        <f aca="false">IF($A53&gt;シミュレーション!$B$10,"",F53-E53)</f>
        <v/>
      </c>
      <c r="H53" s="13" t="str">
        <f aca="false">IF($A53&gt;シミュレーション!$B$10,"",F53-MAX(G53,0)*シミュレーション!$B$12)</f>
        <v/>
      </c>
      <c r="I53" s="13" t="str">
        <f aca="false">IF($A53&gt;シミュレーション!$B$10,"",H53/(1+シミュレーション!$B$13)^$A53)</f>
        <v/>
      </c>
    </row>
    <row r="54" customFormat="false" ht="15" hidden="false" customHeight="false" outlineLevel="0" collapsed="false">
      <c r="A54" s="38" t="n">
        <v>49</v>
      </c>
      <c r="B54" s="38" t="str">
        <f aca="false">IF($A54&gt;シミュレーション!$B$10,"",シミュレーション!$B$4+$A54)</f>
        <v/>
      </c>
      <c r="C54" s="13" t="str">
        <f aca="false">IF($A54&gt;シミュレーション!$B$10,"",シミュレーション!$B$8*(1+シミュレーション!$B$11)^($A54-1))</f>
        <v/>
      </c>
      <c r="D54" s="13" t="str">
        <f aca="false">IF($A54&gt;シミュレーション!$B$10,"",C54*12)</f>
        <v/>
      </c>
      <c r="E54" s="13" t="str">
        <f aca="false">IF($A54&gt;シミュレーション!$B$10,"",E53+D54)</f>
        <v/>
      </c>
      <c r="F54" s="13" t="str">
        <f aca="false">IF($A54&gt;シミュレーション!$B$10,"",FV(シミュレーション!$B$14,12,-C54,-F53))</f>
        <v/>
      </c>
      <c r="G54" s="13" t="str">
        <f aca="false">IF($A54&gt;シミュレーション!$B$10,"",F54-E54)</f>
        <v/>
      </c>
      <c r="H54" s="13" t="str">
        <f aca="false">IF($A54&gt;シミュレーション!$B$10,"",F54-MAX(G54,0)*シミュレーション!$B$12)</f>
        <v/>
      </c>
      <c r="I54" s="13" t="str">
        <f aca="false">IF($A54&gt;シミュレーション!$B$10,"",H54/(1+シミュレーション!$B$13)^$A54)</f>
        <v/>
      </c>
    </row>
    <row r="55" customFormat="false" ht="15" hidden="false" customHeight="false" outlineLevel="0" collapsed="false">
      <c r="A55" s="38" t="n">
        <v>50</v>
      </c>
      <c r="B55" s="38" t="str">
        <f aca="false">IF($A55&gt;シミュレーション!$B$10,"",シミュレーション!$B$4+$A55)</f>
        <v/>
      </c>
      <c r="C55" s="13" t="str">
        <f aca="false">IF($A55&gt;シミュレーション!$B$10,"",シミュレーション!$B$8*(1+シミュレーション!$B$11)^($A55-1))</f>
        <v/>
      </c>
      <c r="D55" s="13" t="str">
        <f aca="false">IF($A55&gt;シミュレーション!$B$10,"",C55*12)</f>
        <v/>
      </c>
      <c r="E55" s="13" t="str">
        <f aca="false">IF($A55&gt;シミュレーション!$B$10,"",E54+D55)</f>
        <v/>
      </c>
      <c r="F55" s="13" t="str">
        <f aca="false">IF($A55&gt;シミュレーション!$B$10,"",FV(シミュレーション!$B$14,12,-C55,-F54))</f>
        <v/>
      </c>
      <c r="G55" s="13" t="str">
        <f aca="false">IF($A55&gt;シミュレーション!$B$10,"",F55-E55)</f>
        <v/>
      </c>
      <c r="H55" s="13" t="str">
        <f aca="false">IF($A55&gt;シミュレーション!$B$10,"",F55-MAX(G55,0)*シミュレーション!$B$12)</f>
        <v/>
      </c>
      <c r="I55" s="13" t="str">
        <f aca="false">IF($A55&gt;シミュレーション!$B$10,"",H55/(1+シミュレーション!$B$13)^$A55)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5"/>
  </cols>
  <sheetData>
    <row r="1" customFormat="false" ht="19.4" hidden="false" customHeight="false" outlineLevel="0" collapsed="false">
      <c r="A1" s="2" t="s">
        <v>93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1" t="s">
        <v>94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false" outlineLevel="0" collapsed="false">
      <c r="A5" s="39" t="s">
        <v>95</v>
      </c>
      <c r="B5" s="40" t="n">
        <v>5</v>
      </c>
      <c r="C5" s="40" t="n">
        <v>10</v>
      </c>
      <c r="D5" s="40" t="n">
        <v>15</v>
      </c>
      <c r="E5" s="40" t="n">
        <v>20</v>
      </c>
      <c r="F5" s="40" t="n">
        <v>25</v>
      </c>
      <c r="G5" s="40" t="n">
        <v>30</v>
      </c>
      <c r="H5" s="40" t="n">
        <v>35</v>
      </c>
      <c r="I5" s="40" t="n">
        <v>40</v>
      </c>
    </row>
    <row r="6" customFormat="false" ht="15" hidden="false" customHeight="false" outlineLevel="0" collapsed="false">
      <c r="A6" s="41" t="n">
        <v>0</v>
      </c>
      <c r="B6" s="13" t="n">
        <f aca="false">FV((1+$A6)^(1/12)-1,B$5*12,-シミュレーション!$B$8,-シミュレーション!$B$7)</f>
        <v>1800000</v>
      </c>
      <c r="C6" s="13" t="n">
        <f aca="false">FV((1+$A6)^(1/12)-1,C$5*12,-シミュレーション!$B$8,-シミュレーション!$B$7)</f>
        <v>3600000</v>
      </c>
      <c r="D6" s="13" t="n">
        <f aca="false">FV((1+$A6)^(1/12)-1,D$5*12,-シミュレーション!$B$8,-シミュレーション!$B$7)</f>
        <v>5400000</v>
      </c>
      <c r="E6" s="13" t="n">
        <f aca="false">FV((1+$A6)^(1/12)-1,E$5*12,-シミュレーション!$B$8,-シミュレーション!$B$7)</f>
        <v>7200000</v>
      </c>
      <c r="F6" s="13" t="n">
        <f aca="false">FV((1+$A6)^(1/12)-1,F$5*12,-シミュレーション!$B$8,-シミュレーション!$B$7)</f>
        <v>9000000</v>
      </c>
      <c r="G6" s="13" t="n">
        <f aca="false">FV((1+$A6)^(1/12)-1,G$5*12,-シミュレーション!$B$8,-シミュレーション!$B$7)</f>
        <v>10800000</v>
      </c>
      <c r="H6" s="13" t="n">
        <f aca="false">FV((1+$A6)^(1/12)-1,H$5*12,-シミュレーション!$B$8,-シミュレーション!$B$7)</f>
        <v>12600000</v>
      </c>
      <c r="I6" s="13" t="n">
        <f aca="false">FV((1+$A6)^(1/12)-1,I$5*12,-シミュレーション!$B$8,-シミュレーション!$B$7)</f>
        <v>14400000</v>
      </c>
    </row>
    <row r="7" customFormat="false" ht="15" hidden="false" customHeight="false" outlineLevel="0" collapsed="false">
      <c r="A7" s="41" t="n">
        <v>0.01</v>
      </c>
      <c r="B7" s="13" t="n">
        <f aca="false">FV((1+$A7)^(1/12)-1,B$5*12,-シミュレーション!$B$8,-シミュレーション!$B$7)</f>
        <v>1844763.34062846</v>
      </c>
      <c r="C7" s="13" t="n">
        <f aca="false">FV((1+$A7)^(1/12)-1,C$5*12,-シミュレーション!$B$8,-シミュレーション!$B$7)</f>
        <v>3783628.15168502</v>
      </c>
      <c r="D7" s="13" t="n">
        <f aca="false">FV((1+$A7)^(1/12)-1,D$5*12,-シミュレーション!$B$8,-シミュレーション!$B$7)</f>
        <v>5821394.55389068</v>
      </c>
      <c r="E7" s="13" t="n">
        <f aca="false">FV((1+$A7)^(1/12)-1,E$5*12,-シミュレーション!$B$8,-シミュレーション!$B$7)</f>
        <v>7963107.52236495</v>
      </c>
      <c r="F7" s="13" t="n">
        <f aca="false">FV((1+$A7)^(1/12)-1,F$5*12,-シミュレーション!$B$8,-シミュレーション!$B$7)</f>
        <v>10214069.3766609</v>
      </c>
      <c r="G7" s="13" t="n">
        <f aca="false">FV((1+$A7)^(1/12)-1,G$5*12,-シミュレーション!$B$8,-シミュレーション!$B$7)</f>
        <v>12579852.9079177</v>
      </c>
      <c r="H7" s="13" t="n">
        <f aca="false">FV((1+$A7)^(1/12)-1,H$5*12,-シミュレーション!$B$8,-シミュレーション!$B$7)</f>
        <v>15066315.1756296</v>
      </c>
      <c r="I7" s="13" t="n">
        <f aca="false">FV((1+$A7)^(1/12)-1,I$5*12,-シミュレーション!$B$8,-シミュレーション!$B$7)</f>
        <v>17679612.0081892</v>
      </c>
    </row>
    <row r="8" customFormat="false" ht="15" hidden="false" customHeight="false" outlineLevel="0" collapsed="false">
      <c r="A8" s="41" t="n">
        <v>0.02</v>
      </c>
      <c r="B8" s="13" t="n">
        <f aca="false">FV((1+$A8)^(1/12)-1,B$5*12,-シミュレーション!$B$8,-シミュレーション!$B$7)</f>
        <v>1890566.38772175</v>
      </c>
      <c r="C8" s="13" t="n">
        <f aca="false">FV((1+$A8)^(1/12)-1,C$5*12,-シミュレーション!$B$8,-シミュレーション!$B$7)</f>
        <v>3977904.4435805</v>
      </c>
      <c r="D8" s="13" t="n">
        <f aca="false">FV((1+$A8)^(1/12)-1,D$5*12,-シミュレーション!$B$8,-シミュレーション!$B$7)</f>
        <v>6282494.32084297</v>
      </c>
      <c r="E8" s="13" t="n">
        <f aca="false">FV((1+$A8)^(1/12)-1,E$5*12,-シミュレーション!$B$8,-シミュレーション!$B$7)</f>
        <v>8826947.76357751</v>
      </c>
      <c r="F8" s="13" t="n">
        <f aca="false">FV((1+$A8)^(1/12)-1,F$5*12,-シミュレーション!$B$8,-シミュレーション!$B$7)</f>
        <v>11636229.9643369</v>
      </c>
      <c r="G8" s="13" t="n">
        <f aca="false">FV((1+$A8)^(1/12)-1,G$5*12,-シミュレーション!$B$8,-シミュレーション!$B$7)</f>
        <v>14737904.5129668</v>
      </c>
      <c r="H8" s="13" t="n">
        <f aca="false">FV((1+$A8)^(1/12)-1,H$5*12,-シミュレーション!$B$8,-シミュレーション!$B$7)</f>
        <v>18162403.839883</v>
      </c>
      <c r="I8" s="13" t="n">
        <f aca="false">FV((1+$A8)^(1/12)-1,I$5*12,-シミュレーション!$B$8,-シミュレーション!$B$7)</f>
        <v>21943327.8073026</v>
      </c>
    </row>
    <row r="9" customFormat="false" ht="15" hidden="false" customHeight="false" outlineLevel="0" collapsed="false">
      <c r="A9" s="41" t="n">
        <v>0.03</v>
      </c>
      <c r="B9" s="13" t="n">
        <f aca="false">FV((1+$A9)^(1/12)-1,B$5*12,-シミュレーション!$B$8,-シミュレーション!$B$7)</f>
        <v>1937428.85821325</v>
      </c>
      <c r="C9" s="13" t="n">
        <f aca="false">FV((1+$A9)^(1/12)-1,C$5*12,-シミュレーション!$B$8,-シミュレーション!$B$7)</f>
        <v>4183439.90434053</v>
      </c>
      <c r="D9" s="13" t="n">
        <f aca="false">FV((1+$A9)^(1/12)-1,D$5*12,-シミュレーション!$B$8,-シミュレーション!$B$7)</f>
        <v>6787182.28070732</v>
      </c>
      <c r="E9" s="13" t="n">
        <f aca="false">FV((1+$A9)^(1/12)-1,E$5*12,-シミュレーション!$B$8,-シミュレーション!$B$7)</f>
        <v>9805633.31378564</v>
      </c>
      <c r="F9" s="13" t="n">
        <f aca="false">FV((1+$A9)^(1/12)-1,F$5*12,-シミュレーション!$B$8,-シミュレーション!$B$7)</f>
        <v>13304845.3409774</v>
      </c>
      <c r="G9" s="13" t="n">
        <f aca="false">FV((1+$A9)^(1/12)-1,G$5*12,-シミュレーション!$B$8,-シミュレーション!$B$7)</f>
        <v>17361391.1245796</v>
      </c>
      <c r="H9" s="13" t="n">
        <f aca="false">FV((1+$A9)^(1/12)-1,H$5*12,-シミュレーション!$B$8,-シミュレーション!$B$7)</f>
        <v>22064039.4827206</v>
      </c>
      <c r="I9" s="13" t="n">
        <f aca="false">FV((1+$A9)^(1/12)-1,I$5*12,-シミュレーション!$B$8,-シミュレーション!$B$7)</f>
        <v>27515697.8048629</v>
      </c>
    </row>
    <row r="10" customFormat="false" ht="15" hidden="false" customHeight="false" outlineLevel="0" collapsed="false">
      <c r="A10" s="41" t="n">
        <v>0.04</v>
      </c>
      <c r="B10" s="13" t="n">
        <f aca="false">FV((1+$A10)^(1/12)-1,B$5*12,-シミュレーション!$B$8,-シミュレーション!$B$7)</f>
        <v>1985370.70885776</v>
      </c>
      <c r="C10" s="13" t="n">
        <f aca="false">FV((1+$A10)^(1/12)-1,C$5*12,-シミュレーション!$B$8,-シミュレーション!$B$7)</f>
        <v>4400877.74412951</v>
      </c>
      <c r="D10" s="13" t="n">
        <f aca="false">FV((1+$A10)^(1/12)-1,D$5*12,-シミュレーション!$B$8,-シミュレーション!$B$7)</f>
        <v>7339711.38936051</v>
      </c>
      <c r="E10" s="13" t="n">
        <f aca="false">FV((1+$A10)^(1/12)-1,E$5*12,-シミュレーション!$B$8,-シミュレーション!$B$7)</f>
        <v>10915251.8735016</v>
      </c>
      <c r="F10" s="13" t="n">
        <f aca="false">FV((1+$A10)^(1/12)-1,F$5*12,-シミュレーション!$B$8,-シミュレーション!$B$7)</f>
        <v>15265443.5811805</v>
      </c>
      <c r="G10" s="13" t="n">
        <f aca="false">FV((1+$A10)^(1/12)-1,G$5*12,-シミュレーション!$B$8,-シミュレーション!$B$7)</f>
        <v>20558116.9483246</v>
      </c>
      <c r="H10" s="13" t="n">
        <f aca="false">FV((1+$A10)^(1/12)-1,H$5*12,-シミュレーション!$B$8,-シミュレーション!$B$7)</f>
        <v>26997463.3619156</v>
      </c>
      <c r="I10" s="13" t="n">
        <f aca="false">FV((1+$A10)^(1/12)-1,I$5*12,-シミュレーション!$B$8,-シミュレーション!$B$7)</f>
        <v>34831912.8655701</v>
      </c>
    </row>
    <row r="11" customFormat="false" ht="15" hidden="false" customHeight="false" outlineLevel="0" collapsed="false">
      <c r="A11" s="41" t="n">
        <v>0.05</v>
      </c>
      <c r="B11" s="13" t="n">
        <f aca="false">FV((1+$A11)^(1/12)-1,B$5*12,-シミュレーション!$B$8,-シミュレーション!$B$7)</f>
        <v>2034412.13746772</v>
      </c>
      <c r="C11" s="13" t="n">
        <f aca="false">FV((1+$A11)^(1/12)-1,C$5*12,-シミュレーション!$B$8,-シミュレーション!$B$7)</f>
        <v>4630894.83904399</v>
      </c>
      <c r="D11" s="13" t="n">
        <f aca="false">FV((1+$A11)^(1/12)-1,D$5*12,-シミュレーション!$B$8,-シミュレーション!$B$7)</f>
        <v>7944737.83841599</v>
      </c>
      <c r="E11" s="13" t="n">
        <f aca="false">FV((1+$A11)^(1/12)-1,E$5*12,-シミュレーション!$B$8,-シミュレーション!$B$7)</f>
        <v>12174134.5595342</v>
      </c>
      <c r="F11" s="13" t="n">
        <f aca="false">FV((1+$A11)^(1/12)-1,F$5*12,-シミュレーション!$B$8,-シミュレーション!$B$7)</f>
        <v>17572035.6151953</v>
      </c>
      <c r="G11" s="13" t="n">
        <f aca="false">FV((1+$A11)^(1/12)-1,G$5*12,-シミュレーション!$B$8,-シミュレーション!$B$7)</f>
        <v>24461277.2087349</v>
      </c>
      <c r="H11" s="13" t="n">
        <f aca="false">FV((1+$A11)^(1/12)-1,H$5*12,-シミュレーション!$B$8,-シミュレーション!$B$7)</f>
        <v>33253889.2341776</v>
      </c>
      <c r="I11" s="13" t="n">
        <f aca="false">FV((1+$A11)^(1/12)-1,I$5*12,-シミュレーション!$B$8,-シミュレーション!$B$7)</f>
        <v>44475737.848466</v>
      </c>
    </row>
    <row r="12" customFormat="false" ht="15" hidden="false" customHeight="false" outlineLevel="0" collapsed="false">
      <c r="A12" s="41" t="n">
        <v>0.06</v>
      </c>
      <c r="B12" s="13" t="n">
        <f aca="false">FV((1+$A12)^(1/12)-1,B$5*12,-シミュレーション!$B$8,-シミュレーション!$B$7)</f>
        <v>2084573.58414415</v>
      </c>
      <c r="C12" s="13" t="n">
        <f aca="false">FV((1+$A12)^(1/12)-1,C$5*12,-シミュレーション!$B$8,-シミュレーション!$B$7)</f>
        <v>4874203.27283515</v>
      </c>
      <c r="D12" s="13" t="n">
        <f aca="false">FV((1+$A12)^(1/12)-1,D$5*12,-シミュレーション!$B$8,-シミュレーション!$B$7)</f>
        <v>8607357.07427378</v>
      </c>
      <c r="E12" s="13" t="n">
        <f aca="false">FV((1+$A12)^(1/12)-1,E$5*12,-シミュレーション!$B$8,-シミュレーション!$B$7)</f>
        <v>13603158.9764736</v>
      </c>
      <c r="F12" s="13" t="n">
        <f aca="false">FV((1+$A12)^(1/12)-1,F$5*12,-シミュレーション!$B$8,-シミュレーション!$B$7)</f>
        <v>20288668.8626202</v>
      </c>
      <c r="G12" s="13" t="n">
        <f aca="false">FV((1+$A12)^(1/12)-1,G$5*12,-シミュレーション!$B$8,-シミュレーション!$B$7)</f>
        <v>29235389.1915592</v>
      </c>
      <c r="H12" s="13" t="n">
        <f aca="false">FV((1+$A12)^(1/12)-1,H$5*12,-シミュレーション!$B$8,-シミュレーション!$B$7)</f>
        <v>41208119.1713793</v>
      </c>
      <c r="I12" s="13" t="n">
        <f aca="false">FV((1+$A12)^(1/12)-1,I$5*12,-シミュレーション!$B$8,-シミュレーション!$B$7)</f>
        <v>57230332.6640729</v>
      </c>
    </row>
    <row r="13" customFormat="false" ht="15" hidden="false" customHeight="false" outlineLevel="0" collapsed="false">
      <c r="A13" s="41" t="n">
        <v>0.07</v>
      </c>
      <c r="B13" s="13" t="n">
        <f aca="false">FV((1+$A13)^(1/12)-1,B$5*12,-シミュレーション!$B$8,-シミュレーション!$B$7)</f>
        <v>2135875.73250252</v>
      </c>
      <c r="C13" s="13" t="n">
        <f aca="false">FV((1+$A13)^(1/12)-1,C$5*12,-シミュレーション!$B$8,-シミュレーション!$B$7)</f>
        <v>5131551.93768406</v>
      </c>
      <c r="D13" s="13" t="n">
        <f aca="false">FV((1+$A13)^(1/12)-1,D$5*12,-シミュレーション!$B$8,-シミュレーション!$B$7)</f>
        <v>9333142.78387824</v>
      </c>
      <c r="E13" s="13" t="n">
        <f aca="false">FV((1+$A13)^(1/12)-1,E$5*12,-シミュレーション!$B$8,-シミュレーション!$B$7)</f>
        <v>15226091.2969012</v>
      </c>
      <c r="F13" s="13" t="n">
        <f aca="false">FV((1+$A13)^(1/12)-1,F$5*12,-シミュレーション!$B$8,-シミュレーション!$B$7)</f>
        <v>23491256.4327674</v>
      </c>
      <c r="G13" s="13" t="n">
        <f aca="false">FV((1+$A13)^(1/12)-1,G$5*12,-シミュレーション!$B$8,-シミュレーション!$B$7)</f>
        <v>35083578.098598</v>
      </c>
      <c r="H13" s="13" t="n">
        <f aca="false">FV((1+$A13)^(1/12)-1,H$5*12,-シミュレーション!$B$8,-シミュレーション!$B$7)</f>
        <v>51342408.9138398</v>
      </c>
      <c r="I13" s="13" t="n">
        <f aca="false">FV((1+$A13)^(1/12)-1,I$5*12,-シミュレーション!$B$8,-シミュレーション!$B$7)</f>
        <v>74146260.2129156</v>
      </c>
    </row>
    <row r="14" customFormat="false" ht="15" hidden="false" customHeight="false" outlineLevel="0" collapsed="false">
      <c r="A14" s="41" t="n">
        <v>0.08</v>
      </c>
      <c r="B14" s="13" t="n">
        <f aca="false">FV((1+$A14)^(1/12)-1,B$5*12,-シミュレーション!$B$8,-シミュレーション!$B$7)</f>
        <v>2188339.51089365</v>
      </c>
      <c r="C14" s="13" t="n">
        <f aca="false">FV((1+$A14)^(1/12)-1,C$5*12,-シミュレーション!$B$8,-シミュレーション!$B$7)</f>
        <v>5403728.19582047</v>
      </c>
      <c r="D14" s="13" t="n">
        <f aca="false">FV((1+$A14)^(1/12)-1,D$5*12,-シミュレーション!$B$8,-シミュレーション!$B$7)</f>
        <v>10128189.0684085</v>
      </c>
      <c r="E14" s="13" t="n">
        <f aca="false">FV((1+$A14)^(1/12)-1,E$5*12,-シミュレーション!$B$8,-シミュレーション!$B$7)</f>
        <v>17069972.076245</v>
      </c>
      <c r="F14" s="13" t="n">
        <f aca="false">FV((1+$A14)^(1/12)-1,F$5*12,-シミュレーション!$B$8,-シミュレーション!$B$7)</f>
        <v>27269728.7527124</v>
      </c>
      <c r="G14" s="13" t="n">
        <f aca="false">FV((1+$A14)^(1/12)-1,G$5*12,-シミュレーション!$B$8,-シミュレーション!$B$7)</f>
        <v>42256517.6139742</v>
      </c>
      <c r="H14" s="13" t="n">
        <f aca="false">FV((1+$A14)^(1/12)-1,H$5*12,-シミュレーション!$B$8,-シミュレーション!$B$7)</f>
        <v>64277027.2688996</v>
      </c>
      <c r="I14" s="13" t="n">
        <f aca="false">FV((1+$A14)^(1/12)-1,I$5*12,-シミュレーション!$B$8,-シミュレーション!$B$7)</f>
        <v>96632380.3703269</v>
      </c>
    </row>
    <row r="15" customFormat="false" ht="15" hidden="false" customHeight="false" outlineLevel="0" collapsed="false">
      <c r="A15" s="41" t="n">
        <v>0.09</v>
      </c>
      <c r="B15" s="13" t="n">
        <f aca="false">FV((1+$A15)^(1/12)-1,B$5*12,-シミュレーション!$B$8,-シミュレーション!$B$7)</f>
        <v>2241986.09361977</v>
      </c>
      <c r="C15" s="13" t="n">
        <f aca="false">FV((1+$A15)^(1/12)-1,C$5*12,-シミュレーション!$B$8,-シミュレーション!$B$7)</f>
        <v>5691559.60381584</v>
      </c>
      <c r="D15" s="13" t="n">
        <f aca="false">FV((1+$A15)^(1/12)-1,D$5*12,-シミュレーション!$B$8,-シミュレーション!$B$7)</f>
        <v>10999156.040792</v>
      </c>
      <c r="E15" s="13" t="n">
        <f aca="false">FV((1+$A15)^(1/12)-1,E$5*12,-シミュレーション!$B$8,-シミュレーション!$B$7)</f>
        <v>19165551.0616654</v>
      </c>
      <c r="F15" s="13" t="n">
        <f aca="false">FV((1+$A15)^(1/12)-1,F$5*12,-シミュレーション!$B$8,-シミュレーション!$B$7)</f>
        <v>31730562.0659573</v>
      </c>
      <c r="G15" s="13" t="n">
        <f aca="false">FV((1+$A15)^(1/12)-1,G$5*12,-シミュレーション!$B$8,-シミュレーション!$B$7)</f>
        <v>51063388.990743</v>
      </c>
      <c r="H15" s="13" t="n">
        <f aca="false">FV((1+$A15)^(1/12)-1,H$5*12,-シミュレーション!$B$8,-シミュレーション!$B$7)</f>
        <v>80809339.613154</v>
      </c>
      <c r="I15" s="13" t="n">
        <f aca="false">FV((1+$A15)^(1/12)-1,I$5*12,-シミュレーション!$B$8,-シミュレーション!$B$7)</f>
        <v>126577171.802068</v>
      </c>
    </row>
    <row r="16" customFormat="false" ht="15" hidden="false" customHeight="false" outlineLevel="0" collapsed="false">
      <c r="A16" s="41" t="n">
        <v>0.1</v>
      </c>
      <c r="B16" s="13" t="n">
        <f aca="false">FV((1+$A16)^(1/12)-1,B$5*12,-シミュレーション!$B$8,-シミュレーション!$B$7)</f>
        <v>2296836.90214595</v>
      </c>
      <c r="C16" s="13" t="n">
        <f aca="false">FV((1+$A16)^(1/12)-1,C$5*12,-シミュレーション!$B$8,-シミュレーション!$B$7)</f>
        <v>5995915.70142102</v>
      </c>
      <c r="D16" s="13" t="n">
        <f aca="false">FV((1+$A16)^(1/12)-1,D$5*12,-シミュレーション!$B$8,-シミュレーション!$B$7)</f>
        <v>11953319.0984415</v>
      </c>
      <c r="E16" s="13" t="n">
        <f aca="false">FV((1+$A16)^(1/12)-1,E$5*12,-シミュレーション!$B$8,-シミュレーション!$B$7)</f>
        <v>21547776.843377</v>
      </c>
      <c r="F16" s="13" t="n">
        <f aca="false">FV((1+$A16)^(1/12)-1,F$5*12,-シミュレーション!$B$8,-シミュレーション!$B$7)</f>
        <v>36999746.9861731</v>
      </c>
      <c r="G16" s="13" t="n">
        <f aca="false">FV((1+$A16)^(1/12)-1,G$5*12,-シミュレーション!$B$8,-シミュレーション!$B$7)</f>
        <v>61885299.4208477</v>
      </c>
      <c r="H16" s="13" t="n">
        <f aca="false">FV((1+$A16)^(1/12)-1,H$5*12,-シミュレーション!$B$8,-シミュレーション!$B$7)</f>
        <v>101963730.472416</v>
      </c>
      <c r="I16" s="13" t="n">
        <f aca="false">FV((1+$A16)^(1/12)-1,I$5*12,-シミュレーション!$B$8,-シミュレーション!$B$7)</f>
        <v>166510444.465276</v>
      </c>
    </row>
    <row r="17" customFormat="false" ht="15" hidden="false" customHeight="false" outlineLevel="0" collapsed="false">
      <c r="A17" s="19" t="s">
        <v>96</v>
      </c>
      <c r="B17" s="42" t="n">
        <f aca="false">シミュレーション!$B$7+シミュレーション!$B$8*12*B$5</f>
        <v>1800000</v>
      </c>
      <c r="C17" s="42" t="n">
        <f aca="false">シミュレーション!$B$7+シミュレーション!$B$8*12*C$5</f>
        <v>3600000</v>
      </c>
      <c r="D17" s="42" t="n">
        <f aca="false">シミュレーション!$B$7+シミュレーション!$B$8*12*D$5</f>
        <v>5400000</v>
      </c>
      <c r="E17" s="42" t="n">
        <f aca="false">シミュレーション!$B$7+シミュレーション!$B$8*12*E$5</f>
        <v>7200000</v>
      </c>
      <c r="F17" s="42" t="n">
        <f aca="false">シミュレーション!$B$7+シミュレーション!$B$8*12*F$5</f>
        <v>9000000</v>
      </c>
      <c r="G17" s="42" t="n">
        <f aca="false">シミュレーション!$B$7+シミュレーション!$B$8*12*G$5</f>
        <v>10800000</v>
      </c>
      <c r="H17" s="42" t="n">
        <f aca="false">シミュレーション!$B$7+シミュレーション!$B$8*12*H$5</f>
        <v>12600000</v>
      </c>
      <c r="I17" s="42" t="n">
        <f aca="false">シミュレーション!$B$7+シミュレーション!$B$8*12*I$5</f>
        <v>14400000</v>
      </c>
    </row>
  </sheetData>
  <conditionalFormatting sqref="B6:I16">
    <cfRule type="colorScale" priority="2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2026-10-07T21:56:54Z</dcterms:created>
  <dc:creator>openpyxl</dc:creator>
  <dc:description/>
  <dc:language>en-US</dc:language>
  <cp:lastModifiedBy/>
  <dcterms:modified xsi:type="dcterms:W3CDTF">2026-10-07T21:56:56Z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